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7489\Downloads\"/>
    </mc:Choice>
  </mc:AlternateContent>
  <xr:revisionPtr revIDLastSave="0" documentId="13_ncr:1_{95E00985-7CF7-413D-9FDB-8C6139D5372D}" xr6:coauthVersionLast="36" xr6:coauthVersionMax="47" xr10:uidLastSave="{00000000-0000-0000-0000-000000000000}"/>
  <bookViews>
    <workbookView xWindow="-105" yWindow="-105" windowWidth="19425" windowHeight="10305" activeTab="3" xr2:uid="{E9FCC7DC-1D24-4435-B603-D1796B7DE256}"/>
  </bookViews>
  <sheets>
    <sheet name="Hundi" sheetId="6" r:id="rId1"/>
    <sheet name="Interest Recieved Status" sheetId="13" r:id="rId2"/>
    <sheet name="June2026-May2027_Maintainence" sheetId="15" r:id="rId3"/>
    <sheet name="June2026-May2027_Interest" sheetId="14" r:id="rId4"/>
    <sheet name="June2025-May2026_Maintainence" sheetId="9" r:id="rId5"/>
    <sheet name="June2025-May2026_Interest" sheetId="10" r:id="rId6"/>
    <sheet name="SGVSVD_Account_2025" sheetId="8" r:id="rId7"/>
    <sheet name="SGVSVD_Account_2024" sheetId="4" r:id="rId8"/>
    <sheet name="June2024-May2025_Maintainence" sheetId="1" r:id="rId9"/>
    <sheet name="SGVSVD_Account_2023" sheetId="5" r:id="rId10"/>
  </sheets>
  <definedNames>
    <definedName name="_xlnm._FilterDatabase" localSheetId="7" hidden="1">SGVSVD_Account_2024!$A$1:$L$24</definedName>
  </definedNames>
  <calcPr calcId="191029"/>
</workbook>
</file>

<file path=xl/calcChain.xml><?xml version="1.0" encoding="utf-8"?>
<calcChain xmlns="http://schemas.openxmlformats.org/spreadsheetml/2006/main">
  <c r="L4" i="15" l="1"/>
  <c r="F13" i="13"/>
  <c r="F12" i="13"/>
  <c r="F10" i="13"/>
  <c r="F9" i="13"/>
  <c r="F8" i="13"/>
  <c r="F7" i="13"/>
  <c r="F5" i="13"/>
  <c r="F4" i="13"/>
  <c r="F3" i="13"/>
  <c r="D2" i="13"/>
  <c r="D14" i="13" s="1"/>
  <c r="F2" i="13" l="1"/>
  <c r="F14" i="13" s="1"/>
  <c r="F13" i="14"/>
  <c r="F12" i="14"/>
  <c r="F5" i="14"/>
  <c r="J5" i="14"/>
  <c r="L5" i="14" s="1"/>
  <c r="I5" i="14"/>
  <c r="H5" i="14"/>
  <c r="G5" i="14"/>
  <c r="D2" i="14"/>
  <c r="F5" i="6" l="1"/>
  <c r="F4" i="6"/>
  <c r="F6" i="6" s="1"/>
  <c r="C6" i="6"/>
  <c r="F10" i="14" l="1"/>
  <c r="K14" i="14"/>
  <c r="G13" i="14"/>
  <c r="H13" i="14"/>
  <c r="J13" i="14" s="1"/>
  <c r="L13" i="14" s="1"/>
  <c r="I13" i="14"/>
  <c r="G12" i="14"/>
  <c r="H12" i="14"/>
  <c r="I12" i="14"/>
  <c r="D14" i="14"/>
  <c r="G10" i="14"/>
  <c r="H10" i="14"/>
  <c r="I10" i="14"/>
  <c r="J10" i="14" l="1"/>
  <c r="L10" i="14" s="1"/>
  <c r="J12" i="14"/>
  <c r="L12" i="14" s="1"/>
  <c r="K14" i="15"/>
  <c r="J14" i="15"/>
  <c r="H14" i="15"/>
  <c r="G14" i="15"/>
  <c r="F14" i="15"/>
  <c r="E14" i="15"/>
  <c r="D14" i="15"/>
  <c r="C14" i="15"/>
  <c r="L3" i="15"/>
  <c r="L2" i="15"/>
  <c r="F3" i="14"/>
  <c r="F4" i="14"/>
  <c r="F7" i="14"/>
  <c r="F8" i="14"/>
  <c r="F9" i="14"/>
  <c r="F2" i="14"/>
  <c r="I9" i="14"/>
  <c r="H9" i="14"/>
  <c r="G9" i="14"/>
  <c r="I2" i="14"/>
  <c r="H2" i="14"/>
  <c r="G2" i="14"/>
  <c r="I8" i="14"/>
  <c r="H8" i="14"/>
  <c r="G8" i="14"/>
  <c r="I4" i="14"/>
  <c r="H4" i="14"/>
  <c r="G4" i="14"/>
  <c r="I11" i="14"/>
  <c r="H11" i="14"/>
  <c r="G11" i="14"/>
  <c r="I7" i="14"/>
  <c r="H7" i="14"/>
  <c r="G7" i="14"/>
  <c r="I6" i="14"/>
  <c r="H6" i="14"/>
  <c r="G6" i="14"/>
  <c r="I3" i="14"/>
  <c r="H3" i="14"/>
  <c r="G3" i="14"/>
  <c r="J9" i="14" l="1"/>
  <c r="L9" i="14" s="1"/>
  <c r="G14" i="14"/>
  <c r="I14" i="14"/>
  <c r="F14" i="14"/>
  <c r="H14" i="14"/>
  <c r="J6" i="14"/>
  <c r="L6" i="14" s="1"/>
  <c r="J3" i="14"/>
  <c r="L3" i="14" s="1"/>
  <c r="J8" i="14"/>
  <c r="L8" i="14" s="1"/>
  <c r="J2" i="14"/>
  <c r="L2" i="14" s="1"/>
  <c r="J7" i="14"/>
  <c r="L7" i="14" s="1"/>
  <c r="J4" i="14"/>
  <c r="L4" i="14" s="1"/>
  <c r="J11" i="14"/>
  <c r="L11" i="14" s="1"/>
  <c r="L14" i="15"/>
  <c r="K15" i="15" s="1"/>
  <c r="V13" i="10"/>
  <c r="I11" i="10"/>
  <c r="R12" i="10"/>
  <c r="O12" i="10"/>
  <c r="L12" i="10"/>
  <c r="D13" i="10"/>
  <c r="L5" i="9"/>
  <c r="L6" i="9"/>
  <c r="L7" i="9"/>
  <c r="L8" i="9"/>
  <c r="L9" i="9"/>
  <c r="L10" i="9"/>
  <c r="L11" i="9"/>
  <c r="L12" i="9"/>
  <c r="L13" i="9"/>
  <c r="R11" i="10"/>
  <c r="O11" i="10"/>
  <c r="L11" i="10"/>
  <c r="I9" i="10"/>
  <c r="I8" i="10"/>
  <c r="L8" i="10"/>
  <c r="O8" i="10"/>
  <c r="R8" i="10"/>
  <c r="F3" i="6"/>
  <c r="C4" i="8" s="1"/>
  <c r="I7" i="10"/>
  <c r="L7" i="10"/>
  <c r="O7" i="10"/>
  <c r="R7" i="10"/>
  <c r="H14" i="9"/>
  <c r="L3" i="9"/>
  <c r="L4" i="9"/>
  <c r="L2" i="9"/>
  <c r="J14" i="9"/>
  <c r="D14" i="9"/>
  <c r="E14" i="9"/>
  <c r="F14" i="9"/>
  <c r="G14" i="9"/>
  <c r="C14" i="9"/>
  <c r="I6" i="10"/>
  <c r="L6" i="10"/>
  <c r="O6" i="10"/>
  <c r="R6" i="10"/>
  <c r="R5" i="10"/>
  <c r="O5" i="10"/>
  <c r="L5" i="10"/>
  <c r="I5" i="10"/>
  <c r="R4" i="10"/>
  <c r="O4" i="10"/>
  <c r="L4" i="10"/>
  <c r="I4" i="10"/>
  <c r="R3" i="10"/>
  <c r="O3" i="10"/>
  <c r="L3" i="10"/>
  <c r="I3" i="10"/>
  <c r="R2" i="10"/>
  <c r="O2" i="10"/>
  <c r="L2" i="10"/>
  <c r="I2" i="10"/>
  <c r="D23" i="4"/>
  <c r="G22" i="4"/>
  <c r="F22" i="4"/>
  <c r="J23" i="4"/>
  <c r="I23" i="4"/>
  <c r="G21" i="4"/>
  <c r="G20" i="4"/>
  <c r="F21" i="4"/>
  <c r="F20" i="4"/>
  <c r="J19" i="5"/>
  <c r="G16" i="5"/>
  <c r="F16" i="5"/>
  <c r="F15" i="5"/>
  <c r="G15" i="5" s="1"/>
  <c r="I15" i="5" s="1"/>
  <c r="F14" i="5"/>
  <c r="G14" i="5" s="1"/>
  <c r="F13" i="5"/>
  <c r="G13" i="5" s="1"/>
  <c r="I13" i="5" s="1"/>
  <c r="F12" i="5"/>
  <c r="G12" i="5" s="1"/>
  <c r="I12" i="5" s="1"/>
  <c r="F11" i="5"/>
  <c r="G11" i="5" s="1"/>
  <c r="I11" i="5" s="1"/>
  <c r="F10" i="5"/>
  <c r="G10" i="5" s="1"/>
  <c r="I10" i="5" s="1"/>
  <c r="F9" i="5"/>
  <c r="G9" i="5" s="1"/>
  <c r="I9" i="5" s="1"/>
  <c r="F8" i="5"/>
  <c r="G8" i="5" s="1"/>
  <c r="F7" i="5"/>
  <c r="G7" i="5" s="1"/>
  <c r="I7" i="5" s="1"/>
  <c r="F6" i="5"/>
  <c r="G6" i="5" s="1"/>
  <c r="I6" i="5" s="1"/>
  <c r="F5" i="5"/>
  <c r="G5" i="5" s="1"/>
  <c r="F4" i="5"/>
  <c r="G4" i="5" s="1"/>
  <c r="I4" i="5" s="1"/>
  <c r="F3" i="5"/>
  <c r="G3" i="5" s="1"/>
  <c r="I3" i="5" s="1"/>
  <c r="F2" i="5"/>
  <c r="G2" i="5" s="1"/>
  <c r="I2" i="5" s="1"/>
  <c r="E23" i="4"/>
  <c r="G19" i="4"/>
  <c r="H19" i="4" s="1"/>
  <c r="G18" i="4"/>
  <c r="H18" i="4" s="1"/>
  <c r="K18" i="4" s="1"/>
  <c r="G17" i="4"/>
  <c r="H17" i="4" s="1"/>
  <c r="G16" i="4"/>
  <c r="H16" i="4" s="1"/>
  <c r="K16" i="4" s="1"/>
  <c r="G15" i="4"/>
  <c r="H15" i="4" s="1"/>
  <c r="K15" i="4" s="1"/>
  <c r="G14" i="4"/>
  <c r="H14" i="4" s="1"/>
  <c r="G13" i="4"/>
  <c r="H13" i="4" s="1"/>
  <c r="K13" i="4" s="1"/>
  <c r="G12" i="4"/>
  <c r="H12" i="4" s="1"/>
  <c r="K12" i="4" s="1"/>
  <c r="G11" i="4"/>
  <c r="H11" i="4" s="1"/>
  <c r="K11" i="4" s="1"/>
  <c r="G10" i="4"/>
  <c r="H10" i="4" s="1"/>
  <c r="K10" i="4" s="1"/>
  <c r="G9" i="4"/>
  <c r="H9" i="4" s="1"/>
  <c r="G8" i="4"/>
  <c r="H8" i="4" s="1"/>
  <c r="L8" i="4" s="1"/>
  <c r="G7" i="4"/>
  <c r="H7" i="4" s="1"/>
  <c r="K7" i="4" s="1"/>
  <c r="G6" i="4"/>
  <c r="H6" i="4" s="1"/>
  <c r="G5" i="4"/>
  <c r="H5" i="4" s="1"/>
  <c r="G4" i="4"/>
  <c r="H4" i="4" s="1"/>
  <c r="G3" i="4"/>
  <c r="H3" i="4" s="1"/>
  <c r="L3" i="4" s="1"/>
  <c r="G2" i="4"/>
  <c r="H2" i="4" s="1"/>
  <c r="K2" i="4" s="1"/>
  <c r="L16" i="1"/>
  <c r="J16" i="1"/>
  <c r="I16" i="1"/>
  <c r="H16" i="1"/>
  <c r="G16" i="1"/>
  <c r="F16" i="1"/>
  <c r="E16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14" i="14" l="1"/>
  <c r="J14" i="14"/>
  <c r="H22" i="4"/>
  <c r="U2" i="10"/>
  <c r="W2" i="10" s="1"/>
  <c r="U12" i="10"/>
  <c r="U11" i="10"/>
  <c r="I13" i="10"/>
  <c r="L10" i="10"/>
  <c r="R10" i="10"/>
  <c r="O10" i="10"/>
  <c r="R9" i="10"/>
  <c r="O9" i="10"/>
  <c r="L9" i="10"/>
  <c r="U8" i="10"/>
  <c r="U4" i="10"/>
  <c r="U5" i="10"/>
  <c r="U7" i="10"/>
  <c r="U3" i="10"/>
  <c r="U6" i="10"/>
  <c r="L14" i="9"/>
  <c r="G23" i="4"/>
  <c r="K22" i="4"/>
  <c r="L22" i="4" s="1"/>
  <c r="H21" i="4"/>
  <c r="L15" i="4"/>
  <c r="K9" i="4"/>
  <c r="L9" i="4" s="1"/>
  <c r="L18" i="4"/>
  <c r="K6" i="4"/>
  <c r="L6" i="4" s="1"/>
  <c r="L16" i="4"/>
  <c r="K5" i="4"/>
  <c r="L5" i="4" s="1"/>
  <c r="K4" i="4"/>
  <c r="K17" i="4"/>
  <c r="L17" i="4" s="1"/>
  <c r="L7" i="4"/>
  <c r="L19" i="4"/>
  <c r="L10" i="4"/>
  <c r="L12" i="4"/>
  <c r="L13" i="4"/>
  <c r="L11" i="4"/>
  <c r="L14" i="4"/>
  <c r="L2" i="4"/>
  <c r="H20" i="4"/>
  <c r="K20" i="4" s="1"/>
  <c r="F23" i="4"/>
  <c r="I19" i="5"/>
  <c r="I20" i="5" s="1"/>
  <c r="M16" i="1"/>
  <c r="G17" i="1" s="1"/>
  <c r="K14" i="9" l="1"/>
  <c r="O13" i="10"/>
  <c r="L13" i="10"/>
  <c r="R13" i="10"/>
  <c r="U9" i="10"/>
  <c r="K23" i="4"/>
  <c r="L4" i="4"/>
  <c r="H23" i="4"/>
  <c r="U13" i="10" l="1"/>
  <c r="W13" i="10"/>
  <c r="K15" i="9"/>
  <c r="C3" i="8"/>
  <c r="C5" i="8" s="1"/>
  <c r="L23" i="4"/>
  <c r="D3" i="8" s="1"/>
  <c r="D5" i="8" s="1"/>
  <c r="I2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tc={FE6DEE67-F6BD-4323-98E8-09BFFE5945CE}</author>
  </authors>
  <commentList>
    <comment ref="D3" authorId="0" shapeId="0" xr:uid="{FE6DEE67-F6BD-4323-98E8-09BFFE5945CE}">
      <text>
        <r>
          <rPr>
            <sz val="11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Adding Amount of Spot Intrest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Vengal Rao. Vemuri</author>
  </authors>
  <commentList>
    <comment ref="B4" authorId="0" shapeId="0" xr:uid="{F17E8EB0-B68F-4B7B-9C49-BA34B7B3439A}">
      <text>
        <r>
          <rPr>
            <b/>
            <sz val="9"/>
            <color indexed="81"/>
            <rFont val="Tahoma"/>
            <family val="2"/>
          </rPr>
          <t>Vengal Rao. Vemuri:</t>
        </r>
        <r>
          <rPr>
            <sz val="9"/>
            <color indexed="81"/>
            <rFont val="Tahoma"/>
            <family val="2"/>
          </rPr>
          <t xml:space="preserve">
Its dummy..Actual is in relatives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Vengal Rao. Vemuri</author>
  </authors>
  <commentList>
    <comment ref="B4" authorId="0" shapeId="0" xr:uid="{74D1BBE4-F078-4469-9F67-245E0592E345}">
      <text>
        <r>
          <rPr>
            <b/>
            <sz val="9"/>
            <color indexed="81"/>
            <rFont val="Tahoma"/>
            <family val="2"/>
          </rPr>
          <t>Vengal Rao. Vemuri:</t>
        </r>
        <r>
          <rPr>
            <sz val="9"/>
            <color indexed="81"/>
            <rFont val="Tahoma"/>
            <family val="2"/>
          </rPr>
          <t xml:space="preserve">
Its dummy..Actual is in relatives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tc={FE2BED25-C677-4A5F-90FE-45698CA49D3D}</author>
    <author>Vengal Rao. Vemuri</author>
  </authors>
  <commentList>
    <comment ref="B7" authorId="0" shapeId="0" xr:uid="{FE2BED25-C677-4A5F-90FE-45698CA49D3D}">
      <text>
        <r>
          <rPr>
            <sz val="11"/>
            <color rgb="FF00000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Ragavendra Bodepudi</t>
        </r>
      </text>
    </comment>
    <comment ref="I10" authorId="1" shapeId="0" xr:uid="{3AAB9ABC-2D63-48EA-BCE9-D1E839E0A4D4}">
      <text>
        <r>
          <rPr>
            <b/>
            <sz val="9"/>
            <color indexed="81"/>
            <rFont val="Tahoma"/>
            <charset val="1"/>
          </rPr>
          <t>Vengal Rao. Vemuri:</t>
        </r>
        <r>
          <rPr>
            <sz val="9"/>
            <color indexed="81"/>
            <rFont val="Tahoma"/>
            <charset val="1"/>
          </rPr>
          <t xml:space="preserve">
June2025-August2026 Interest amount is 2719 for 67987rs</t>
        </r>
      </text>
    </comment>
  </commentList>
</comments>
</file>

<file path=xl/sharedStrings.xml><?xml version="1.0" encoding="utf-8"?>
<sst xmlns="http://schemas.openxmlformats.org/spreadsheetml/2006/main" count="391" uniqueCount="167">
  <si>
    <t>S.No</t>
  </si>
  <si>
    <t>Names</t>
  </si>
  <si>
    <t>Location</t>
  </si>
  <si>
    <t>Month</t>
  </si>
  <si>
    <t>Amount</t>
  </si>
  <si>
    <t>Poojari</t>
  </si>
  <si>
    <t>Cleaning</t>
  </si>
  <si>
    <t>Poola Malalu</t>
  </si>
  <si>
    <t>Current Bill</t>
  </si>
  <si>
    <t>CC Recharge</t>
  </si>
  <si>
    <t>Others</t>
  </si>
  <si>
    <t>Other Amount</t>
  </si>
  <si>
    <t>Total Spent Amount</t>
  </si>
  <si>
    <t>Vemuri Vengaiah</t>
  </si>
  <si>
    <t>Nellore</t>
  </si>
  <si>
    <t>June</t>
  </si>
  <si>
    <t>Tirunala</t>
  </si>
  <si>
    <t>Vemuri Musalaiah</t>
  </si>
  <si>
    <t>Hyderabad</t>
  </si>
  <si>
    <t>July</t>
  </si>
  <si>
    <r>
      <t xml:space="preserve">Extra Poolamalalu - 200
</t>
    </r>
    <r>
      <rPr>
        <i/>
        <sz val="11"/>
        <color rgb="FF000000"/>
        <rFont val="Arial"/>
        <family val="2"/>
      </rPr>
      <t>Note:3000 Extra credited in December for using Temple Construction Material</t>
    </r>
  </si>
  <si>
    <t>August</t>
  </si>
  <si>
    <t>Washing Cloths</t>
  </si>
  <si>
    <t>Karimnagar</t>
  </si>
  <si>
    <t>September</t>
  </si>
  <si>
    <t>Petrol - 1500
Prasadam - 400
Other - 900</t>
  </si>
  <si>
    <t>Maharastra</t>
  </si>
  <si>
    <t>October</t>
  </si>
  <si>
    <t>Washing Cloths - 750</t>
  </si>
  <si>
    <t>Vemuri Guravaiah</t>
  </si>
  <si>
    <t>November</t>
  </si>
  <si>
    <t>Extra 16 Poolamalalu (1280)
Mamidakulu (100)</t>
  </si>
  <si>
    <t>Vemuri Ankaiah</t>
  </si>
  <si>
    <t>Vinjamur</t>
  </si>
  <si>
    <t>December</t>
  </si>
  <si>
    <t>NA</t>
  </si>
  <si>
    <t>Narrawada</t>
  </si>
  <si>
    <t>January</t>
  </si>
  <si>
    <t>Thota Vari Shop</t>
  </si>
  <si>
    <t>Vemuri Venkateswarlu</t>
  </si>
  <si>
    <t>Bhimavaram</t>
  </si>
  <si>
    <t>February</t>
  </si>
  <si>
    <t>Extra 4 Poolamalalu - 320, New Kireetalu - 3700, New Haralu - 2700, New Thala Paga - 350, Devudi Batalu - 1000, Poola Malalu &amp; Arati pilakalu &amp; Mamidakulu - 1100, Pooja samanulu - 1200, Pandlu - 400, Milk &amp; Curd - 200, Poojari - 1000, Temple Cleaning - 500</t>
  </si>
  <si>
    <t>Tumukur</t>
  </si>
  <si>
    <t>March</t>
  </si>
  <si>
    <t>Poolamalalu - 400, Door mats - 800</t>
  </si>
  <si>
    <t>Vemuri Pedda Venkateswarlu</t>
  </si>
  <si>
    <t>Nandipadu</t>
  </si>
  <si>
    <t>April</t>
  </si>
  <si>
    <t>Vemuri Chinna Venkateswarlu</t>
  </si>
  <si>
    <t>May</t>
  </si>
  <si>
    <t>Vemuri Vengaiah (Ganachari)</t>
  </si>
  <si>
    <t>Vemuri Venkata Ratnam</t>
  </si>
  <si>
    <t>750rs per month (Tenkaylu) * 12 Months = 9000</t>
  </si>
  <si>
    <t>Balance Amount Details NA</t>
  </si>
  <si>
    <t>Total</t>
  </si>
  <si>
    <t>Balance Amount</t>
  </si>
  <si>
    <t>S. No</t>
  </si>
  <si>
    <t>Name</t>
  </si>
  <si>
    <t>Jaldi Amount</t>
  </si>
  <si>
    <t>Interest</t>
  </si>
  <si>
    <t>Paid Amount</t>
  </si>
  <si>
    <t>Balance</t>
  </si>
  <si>
    <t>Credit Amount</t>
  </si>
  <si>
    <t>Pelapudi Chinna Vengaiah</t>
  </si>
  <si>
    <t>Metla Janakiram</t>
  </si>
  <si>
    <t>Chinna (Duttalur Venkata Ratnam)</t>
  </si>
  <si>
    <t>Year</t>
  </si>
  <si>
    <t>Misala Subbamma</t>
  </si>
  <si>
    <t>Vijayawada</t>
  </si>
  <si>
    <t>Thotaboyina Gangarao</t>
  </si>
  <si>
    <t>Misala Bhoshamma</t>
  </si>
  <si>
    <t>Gedaboyina Narasimhulu (Bhavani)</t>
  </si>
  <si>
    <t>Misala Balaya</t>
  </si>
  <si>
    <t>Misala gangaya</t>
  </si>
  <si>
    <t>Vemuri Pedha Venkateswarlu</t>
  </si>
  <si>
    <t>Yeli Nellore (Venkata Ratnam)</t>
  </si>
  <si>
    <t>Grand Total</t>
  </si>
  <si>
    <t>Pelakuru Ramakrishna</t>
  </si>
  <si>
    <t>Mothukuru Vengaiah (Ramesh Brother)</t>
  </si>
  <si>
    <t>Narrwada</t>
  </si>
  <si>
    <t>Adhilakshamma</t>
  </si>
  <si>
    <t>Bairaram</t>
  </si>
  <si>
    <t>Vemuri Venkata Ratnam (Eluru/Kisanagar)</t>
  </si>
  <si>
    <t>Vemuri Venkata Ratnam (old)</t>
  </si>
  <si>
    <t>Patha Jamma</t>
  </si>
  <si>
    <t>Description</t>
  </si>
  <si>
    <t>Hundi Amount</t>
  </si>
  <si>
    <t>FY24-25 Interest</t>
  </si>
  <si>
    <t>FY23-24 Intrest</t>
  </si>
  <si>
    <t>Washing Clothes</t>
  </si>
  <si>
    <t>Not agree to pay</t>
  </si>
  <si>
    <t>Used for temple</t>
  </si>
  <si>
    <t>Temple Account Old Balance</t>
  </si>
  <si>
    <t>Interest Amount</t>
  </si>
  <si>
    <t>Dinubandaru used Amount</t>
  </si>
  <si>
    <t>Payment Date</t>
  </si>
  <si>
    <t>Payment Mode</t>
  </si>
  <si>
    <t xml:space="preserve">Interest </t>
  </si>
  <si>
    <t>Renewal-19/06/2025
Cash-19/06/2025
PhonePe-21/06/2025</t>
  </si>
  <si>
    <t>Renewal-19/06/2025</t>
  </si>
  <si>
    <t>Renewal-78,233
Cash-11,767
Phonepe-10,000</t>
  </si>
  <si>
    <t>Jun2025_Aug2025 Interest_Payment_Date</t>
  </si>
  <si>
    <t>Jun2025_Aug2025 Interest</t>
  </si>
  <si>
    <t>Jun2025_Aug2025 Interest_Payment_Mode</t>
  </si>
  <si>
    <t>Sep2025_Nov2025 Interest</t>
  </si>
  <si>
    <t>Sep2025_Nov2025 Interest_Payment_Mode</t>
  </si>
  <si>
    <t>Sep2025_Nov2025 Interest_Payment_Date</t>
  </si>
  <si>
    <t>Dec2025_Feb2026 Interest</t>
  </si>
  <si>
    <t>Dec2025_Feb2026 Interest_Payment_Mode</t>
  </si>
  <si>
    <t>Dec2025_Feb2026 Interest_Payment_Date</t>
  </si>
  <si>
    <t>Mar2026_May2026 Interest</t>
  </si>
  <si>
    <t>Mar2026_May2026 Interest_Payment_Mode</t>
  </si>
  <si>
    <t>Mar2026_May2026 Interest_Payment_Date</t>
  </si>
  <si>
    <t>Maintainence 
Renewal-25,000
2024 Amount 
Renewal-12,400
PhonePe-62,600</t>
  </si>
  <si>
    <t>Maintainence 
Renewal-19/06/2025
2024 Amount 
Renewal-19/06/2025
PhonePe-21/06/2025</t>
  </si>
  <si>
    <t>Renewal-50,000</t>
  </si>
  <si>
    <t>PhonePe-50,000</t>
  </si>
  <si>
    <t>PhonePe-23/06/2025</t>
  </si>
  <si>
    <t>Veerragavulu</t>
  </si>
  <si>
    <t>Cash-5,000
PhonePe-10,000</t>
  </si>
  <si>
    <t>Cash-23/06/2025
PhonePe-10,000-23/06/205 (Radhika)
PhonePe-10,000-23/06/205 (Sreenivas)</t>
  </si>
  <si>
    <t>570 - Duniya poolu,1000 - Banthi poola malalu,300 - Roja Poola Malalu,200 - Mallepoolu,350 - Flex,470 - Duniya poolu,800 - Banthi poolu,200 - Kasturi,300 - Aaku,700 - kutinanduku ,300 - Pasupu,100 - Scissor,80 - Wire bining,110 - Kobari, Sambrani, Akkulu vakalu,150 - Arati pilakulu,290 - talhalallu,300 - Arati aakulu,600 - Bojanam Plates,600 - Roja Poola Malalu,180 - Banthi Poola malalu,200 - Malle poolu &amp; Kanakabralu,80 - Vidi poolu,60 - Thomalapakula ,500 - Police Mamulu (Devarillu Tarupuna),3500 - Poojari ,100 - New Key chains,200 - Cleaning</t>
  </si>
  <si>
    <t>Intrest Start Date</t>
  </si>
  <si>
    <t>Tenkaylu</t>
  </si>
  <si>
    <t>PhonePe-1,00,000</t>
  </si>
  <si>
    <t>బ్యాలెన్స్</t>
  </si>
  <si>
    <t>PhonePe-28/06/2025</t>
  </si>
  <si>
    <t>Kasula Sai Kartheek</t>
  </si>
  <si>
    <t>పర్మనెంట్ మెయింటెనెన్స్</t>
  </si>
  <si>
    <t>2024-2025 అకౌంట్ బ్యాలెన్స్</t>
  </si>
  <si>
    <t>2025 హుండీ బాలన్స్</t>
  </si>
  <si>
    <t>మొత్తం</t>
  </si>
  <si>
    <t>Sasikiran Miduthuri</t>
  </si>
  <si>
    <t>PhonePe-03/06/2025</t>
  </si>
  <si>
    <t>Nagarjuna</t>
  </si>
  <si>
    <t>Venu</t>
  </si>
  <si>
    <t>300 - Poola malalu</t>
  </si>
  <si>
    <t>Vemuri Vengal Rao</t>
  </si>
  <si>
    <t>430 - Cloth Cleaning</t>
  </si>
  <si>
    <t xml:space="preserve"> Interest</t>
  </si>
  <si>
    <t>711-Thota Shop</t>
  </si>
  <si>
    <t>1280-Navaratrulu Poola Malalu, 675-Cloth Cleaning, 8444-Jaldi Extra Karchu</t>
  </si>
  <si>
    <t>400-Karthika Pournami Poola Mamalu, 570-Lights &amp; Current Works, 352 - Thota Shop</t>
  </si>
  <si>
    <t>PhonePe</t>
  </si>
  <si>
    <t>అమౌంట్</t>
  </si>
  <si>
    <t>150-Tenkaylu (50extra from Sep-Nov), 300-Mukoti Malalu</t>
  </si>
  <si>
    <t>50 -Vidipoolu, 300-Poolamalalu, 140-Aratipilakalu, 10-Tomalapakulu, 70-Mamidakulu, 50-Tenkaylu, 1537-Devudi Samanu, 1400-Devudi Battalu, 350-Jakat &amp; pancha, 200-Katina Poolu, 300-Pandlu, 160-Milk&amp;Curd, 80-Kobari Bondalu, 1500-Poojari, 240-Biyam&amp;Bellam, 100-Aarati Pandlu, 500-SaibuShop Samanu, 300-MoyanaKarchu, 300- Maleswari Cleaning, 2800-Plumber Charge (ratnam), Garbagudi Focus Light-700</t>
  </si>
  <si>
    <t>1,600-Cloths Cleaning</t>
  </si>
  <si>
    <t>Kiran</t>
  </si>
  <si>
    <t>Jun2026_Aug2026 Interest</t>
  </si>
  <si>
    <t>Sep2026_Nov2026 Interest</t>
  </si>
  <si>
    <t>Dec2026_Feb2027 Interest</t>
  </si>
  <si>
    <t>Mar2027_May2027 Interest</t>
  </si>
  <si>
    <t>Sasikiran</t>
  </si>
  <si>
    <t>11300-Plumbinng &amp; Current items, 3000-Painter, 3100-Paints,
2,600-Flexlu, 500-Flexlu Atinchinanduku, 400-Auto, 1000-Extra Current Items, 7500-Sudhakar, Total=44400-4760(Donors Amount)</t>
  </si>
  <si>
    <t>Mohan</t>
  </si>
  <si>
    <t>Vijaywada</t>
  </si>
  <si>
    <t>Misala Balaiah</t>
  </si>
  <si>
    <t>Tirupathaya</t>
  </si>
  <si>
    <t>Vemuri Ratnam</t>
  </si>
  <si>
    <t>Sai Kartheek</t>
  </si>
  <si>
    <t>11,605-FY25-26 Balance Amount, 580-Cloth Cleaning</t>
  </si>
  <si>
    <t>Yelia kaliveli</t>
  </si>
  <si>
    <t>Veeragavulu</t>
  </si>
  <si>
    <t>7,500-Pittam, 5,200-Godugu, 4,500-Auto (Rollu, Water collerlu), 3,800-Sunday Decoration, 3,000-Dinubandaru Kommolu, Binidolu, Gollola Poojari, 3,500-5days and Wednesday full day poojari, 2,000-Wednesday Annadanam Extra amount, 1,400-Curtains, 1,000-Duniya Poolu Mahadevaya, 1,000-Water coolers current connection setup, 900-Ganta, 840-Gajulu, 700-Poola malalu Thursday,500-Kondachiparlu &amp; tankay chipalu, 500-Water can supply boy, 500-Swamy, 480-New keys for temple, 400-Auto charge for pittam, 390-Transport charge for godugu, 350-Poola malalu Tuesday, 300-Roja poola malalu, 300-Dustbin Tractor, 200-Pitambari surf, 200-Mallepoolu, 150-Mangalavayudalu vala tiffin, 100-Muguralu, 100-Soaps, 100-Kadilu, 100-Key cutting, 60-Hundi lekimpu covers, 230-Sprite Wednesday and Vathulu</t>
  </si>
  <si>
    <t>300-Poola malalu (16days Function on June23rd), 200-Pasupu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</si>
</sst>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;[Red]&quot;-&quot;[$$-409]#,##0.00"/>
    <numFmt numFmtId="165" formatCode="#,##0;[Red]#,##0"/>
  </numFmts>
  <fonts count="17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2"/>
      <color rgb="FF000000"/>
      <name val="Arial"/>
      <family val="2"/>
    </font>
    <font>
      <i/>
      <sz val="11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i/>
      <u/>
      <sz val="11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20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vertical="center" wrapText="1"/>
    </xf>
    <xf numFmtId="3" fontId="0" fillId="3" borderId="5" xfId="0" applyNumberFormat="1" applyFill="1" applyBorder="1" applyAlignment="1">
      <alignment horizontal="center" vertical="center" wrapText="1"/>
    </xf>
    <xf numFmtId="0" fontId="5" fillId="0" borderId="0" xfId="0" applyFont="1"/>
    <xf numFmtId="3" fontId="3" fillId="2" borderId="1" xfId="0" applyNumberFormat="1" applyFont="1" applyFill="1" applyBorder="1" applyAlignment="1">
      <alignment horizontal="center" vertical="center"/>
    </xf>
    <xf numFmtId="0" fontId="6" fillId="4" borderId="4" xfId="0" applyFont="1" applyFill="1" applyBorder="1"/>
    <xf numFmtId="3" fontId="0" fillId="0" borderId="0" xfId="0" applyNumberFormat="1"/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2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0" fillId="0" borderId="13" xfId="0" applyBorder="1"/>
    <xf numFmtId="3" fontId="0" fillId="0" borderId="13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3" fontId="0" fillId="3" borderId="12" xfId="0" applyNumberForma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3" fontId="2" fillId="3" borderId="12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3" borderId="5" xfId="0" applyNumberFormat="1" applyFont="1" applyFill="1" applyBorder="1" applyAlignment="1">
      <alignment horizontal="center" vertical="center" wrapText="1"/>
    </xf>
    <xf numFmtId="3" fontId="3" fillId="2" borderId="16" xfId="0" applyNumberFormat="1" applyFont="1" applyFill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3" fontId="7" fillId="3" borderId="9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2" xfId="0" applyFill="1" applyBorder="1" applyAlignment="1">
      <alignment horizontal="left"/>
    </xf>
    <xf numFmtId="3" fontId="0" fillId="6" borderId="1" xfId="0" applyNumberFormat="1" applyFill="1" applyBorder="1" applyAlignment="1">
      <alignment horizontal="center"/>
    </xf>
    <xf numFmtId="3" fontId="0" fillId="6" borderId="12" xfId="0" applyNumberFormat="1" applyFill="1" applyBorder="1" applyAlignment="1">
      <alignment horizontal="center"/>
    </xf>
    <xf numFmtId="3" fontId="0" fillId="6" borderId="4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3" fontId="7" fillId="7" borderId="1" xfId="0" applyNumberFormat="1" applyFont="1" applyFill="1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7" fillId="8" borderId="21" xfId="0" applyFont="1" applyFill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165" fontId="0" fillId="0" borderId="21" xfId="0" applyNumberFormat="1" applyBorder="1"/>
    <xf numFmtId="0" fontId="0" fillId="0" borderId="0" xfId="0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center" vertical="center" wrapText="1"/>
    </xf>
    <xf numFmtId="165" fontId="0" fillId="0" borderId="21" xfId="0" applyNumberFormat="1" applyBorder="1" applyAlignment="1">
      <alignment horizontal="center" vertical="center" wrapText="1"/>
    </xf>
    <xf numFmtId="165" fontId="7" fillId="0" borderId="21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165" fontId="0" fillId="0" borderId="23" xfId="0" applyNumberFormat="1" applyBorder="1" applyAlignment="1">
      <alignment horizontal="center" vertical="center"/>
    </xf>
    <xf numFmtId="0" fontId="0" fillId="0" borderId="23" xfId="0" applyBorder="1"/>
    <xf numFmtId="165" fontId="7" fillId="0" borderId="23" xfId="0" applyNumberFormat="1" applyFont="1" applyBorder="1" applyAlignment="1">
      <alignment horizontal="center" vertical="center"/>
    </xf>
    <xf numFmtId="0" fontId="7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3" fontId="0" fillId="3" borderId="1" xfId="0" applyNumberForma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65" fontId="6" fillId="8" borderId="21" xfId="0" applyNumberFormat="1" applyFont="1" applyFill="1" applyBorder="1" applyAlignment="1">
      <alignment vertical="center"/>
    </xf>
    <xf numFmtId="14" fontId="0" fillId="0" borderId="23" xfId="0" applyNumberFormat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165" fontId="6" fillId="8" borderId="21" xfId="0" applyNumberFormat="1" applyFont="1" applyFill="1" applyBorder="1" applyAlignment="1">
      <alignment horizontal="center" vertical="center"/>
    </xf>
    <xf numFmtId="14" fontId="0" fillId="12" borderId="23" xfId="0" applyNumberFormat="1" applyFill="1" applyBorder="1" applyAlignment="1">
      <alignment horizontal="center" vertical="center"/>
    </xf>
    <xf numFmtId="3" fontId="0" fillId="0" borderId="14" xfId="0" applyNumberFormat="1" applyBorder="1" applyAlignment="1">
      <alignment horizontal="center"/>
    </xf>
    <xf numFmtId="3" fontId="7" fillId="5" borderId="14" xfId="0" applyNumberFormat="1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2" borderId="12" xfId="0" applyFill="1" applyBorder="1" applyAlignment="1">
      <alignment horizontal="left"/>
    </xf>
    <xf numFmtId="3" fontId="0" fillId="12" borderId="1" xfId="0" applyNumberFormat="1" applyFill="1" applyBorder="1" applyAlignment="1">
      <alignment horizontal="center"/>
    </xf>
    <xf numFmtId="3" fontId="0" fillId="12" borderId="12" xfId="0" applyNumberFormat="1" applyFill="1" applyBorder="1" applyAlignment="1">
      <alignment horizontal="center"/>
    </xf>
    <xf numFmtId="3" fontId="0" fillId="12" borderId="4" xfId="0" applyNumberFormat="1" applyFill="1" applyBorder="1" applyAlignment="1">
      <alignment horizontal="center"/>
    </xf>
    <xf numFmtId="3" fontId="0" fillId="13" borderId="1" xfId="0" applyNumberFormat="1" applyFill="1" applyBorder="1" applyAlignment="1">
      <alignment horizontal="center"/>
    </xf>
    <xf numFmtId="3" fontId="7" fillId="13" borderId="1" xfId="0" applyNumberFormat="1" applyFont="1" applyFill="1" applyBorder="1" applyAlignment="1">
      <alignment horizontal="center"/>
    </xf>
    <xf numFmtId="0" fontId="0" fillId="12" borderId="0" xfId="0" applyFill="1"/>
    <xf numFmtId="3" fontId="0" fillId="6" borderId="17" xfId="0" applyNumberFormat="1" applyFill="1" applyBorder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3" fontId="0" fillId="13" borderId="1" xfId="0" applyNumberFormat="1" applyFill="1" applyBorder="1" applyAlignment="1">
      <alignment horizontal="center" vertical="center"/>
    </xf>
    <xf numFmtId="3" fontId="7" fillId="3" borderId="8" xfId="0" applyNumberFormat="1" applyFont="1" applyFill="1" applyBorder="1" applyAlignment="1">
      <alignment horizontal="center" vertical="center"/>
    </xf>
    <xf numFmtId="3" fontId="0" fillId="3" borderId="12" xfId="0" applyNumberFormat="1" applyFill="1" applyBorder="1" applyAlignment="1">
      <alignment horizontal="center" vertical="center"/>
    </xf>
    <xf numFmtId="3" fontId="0" fillId="13" borderId="12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3" fontId="14" fillId="13" borderId="1" xfId="0" applyNumberFormat="1" applyFont="1" applyFill="1" applyBorder="1" applyAlignment="1">
      <alignment horizontal="center" vertical="center"/>
    </xf>
    <xf numFmtId="3" fontId="7" fillId="8" borderId="27" xfId="0" applyNumberFormat="1" applyFont="1" applyFill="1" applyBorder="1" applyAlignment="1">
      <alignment vertical="center"/>
    </xf>
    <xf numFmtId="3" fontId="7" fillId="9" borderId="27" xfId="0" applyNumberFormat="1" applyFont="1" applyFill="1" applyBorder="1" applyAlignment="1">
      <alignment vertical="center"/>
    </xf>
    <xf numFmtId="3" fontId="7" fillId="10" borderId="27" xfId="0" applyNumberFormat="1" applyFont="1" applyFill="1" applyBorder="1"/>
    <xf numFmtId="3" fontId="7" fillId="11" borderId="27" xfId="0" applyNumberFormat="1" applyFont="1" applyFill="1" applyBorder="1"/>
    <xf numFmtId="3" fontId="7" fillId="8" borderId="18" xfId="0" applyNumberFormat="1" applyFont="1" applyFill="1" applyBorder="1" applyAlignment="1">
      <alignment horizontal="center" vertical="center"/>
    </xf>
    <xf numFmtId="3" fontId="7" fillId="9" borderId="18" xfId="0" applyNumberFormat="1" applyFont="1" applyFill="1" applyBorder="1" applyAlignment="1">
      <alignment horizontal="center" vertical="center"/>
    </xf>
    <xf numFmtId="3" fontId="7" fillId="10" borderId="18" xfId="0" applyNumberFormat="1" applyFont="1" applyFill="1" applyBorder="1" applyAlignment="1">
      <alignment horizontal="center"/>
    </xf>
    <xf numFmtId="3" fontId="7" fillId="11" borderId="18" xfId="0" applyNumberFormat="1" applyFont="1" applyFill="1" applyBorder="1" applyAlignment="1">
      <alignment horizontal="center"/>
    </xf>
    <xf numFmtId="0" fontId="7" fillId="14" borderId="16" xfId="0" applyFont="1" applyFill="1" applyBorder="1" applyAlignment="1">
      <alignment horizontal="center" vertical="center"/>
    </xf>
    <xf numFmtId="0" fontId="11" fillId="14" borderId="16" xfId="0" applyFont="1" applyFill="1" applyBorder="1"/>
    <xf numFmtId="3" fontId="0" fillId="3" borderId="10" xfId="0" applyNumberFormat="1" applyFill="1" applyBorder="1" applyAlignment="1">
      <alignment horizontal="center" vertical="center"/>
    </xf>
    <xf numFmtId="3" fontId="3" fillId="2" borderId="17" xfId="0" applyNumberFormat="1" applyFont="1" applyFill="1" applyBorder="1" applyAlignment="1">
      <alignment horizontal="center" vertical="center"/>
    </xf>
    <xf numFmtId="3" fontId="0" fillId="3" borderId="16" xfId="0" applyNumberFormat="1" applyFill="1" applyBorder="1" applyAlignment="1">
      <alignment horizontal="center" vertical="center"/>
    </xf>
    <xf numFmtId="3" fontId="0" fillId="3" borderId="34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vertical="center" wrapText="1"/>
    </xf>
    <xf numFmtId="0" fontId="0" fillId="13" borderId="1" xfId="0" applyFill="1" applyBorder="1" applyAlignment="1">
      <alignment horizontal="left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3" fontId="14" fillId="13" borderId="1" xfId="0" applyNumberFormat="1" applyFont="1" applyFill="1" applyBorder="1" applyAlignment="1">
      <alignment horizontal="center" vertical="center" wrapText="1"/>
    </xf>
    <xf numFmtId="3" fontId="7" fillId="3" borderId="8" xfId="0" applyNumberFormat="1" applyFont="1" applyFill="1" applyBorder="1" applyAlignment="1">
      <alignment horizontal="center" vertical="center" wrapText="1"/>
    </xf>
    <xf numFmtId="0" fontId="0" fillId="13" borderId="12" xfId="0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3" fontId="0" fillId="13" borderId="18" xfId="0" applyNumberFormat="1" applyFill="1" applyBorder="1" applyAlignment="1">
      <alignment horizontal="center" vertical="center" wrapText="1"/>
    </xf>
    <xf numFmtId="3" fontId="0" fillId="3" borderId="18" xfId="0" applyNumberFormat="1" applyFill="1" applyBorder="1" applyAlignment="1">
      <alignment horizontal="center" vertical="center" wrapText="1"/>
    </xf>
    <xf numFmtId="3" fontId="0" fillId="3" borderId="35" xfId="0" applyNumberFormat="1" applyFill="1" applyBorder="1" applyAlignment="1">
      <alignment horizontal="center" vertical="center" wrapText="1"/>
    </xf>
    <xf numFmtId="3" fontId="0" fillId="3" borderId="16" xfId="0" applyNumberFormat="1" applyFill="1" applyBorder="1" applyAlignment="1">
      <alignment horizontal="center" vertical="center" wrapText="1"/>
    </xf>
    <xf numFmtId="3" fontId="0" fillId="0" borderId="21" xfId="0" applyNumberFormat="1" applyBorder="1"/>
    <xf numFmtId="0" fontId="7" fillId="5" borderId="13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165" fontId="6" fillId="8" borderId="21" xfId="0" applyNumberFormat="1" applyFont="1" applyFill="1" applyBorder="1" applyAlignment="1">
      <alignment horizontal="center" vertical="center"/>
    </xf>
    <xf numFmtId="0" fontId="0" fillId="0" borderId="21" xfId="0" applyFill="1" applyBorder="1" applyAlignment="1">
      <alignment horizontal="left" vertical="center"/>
    </xf>
    <xf numFmtId="165" fontId="7" fillId="0" borderId="21" xfId="0" applyNumberFormat="1" applyFont="1" applyFill="1" applyBorder="1" applyAlignment="1">
      <alignment horizontal="center" vertical="center"/>
    </xf>
    <xf numFmtId="14" fontId="0" fillId="0" borderId="21" xfId="0" applyNumberFormat="1" applyFill="1" applyBorder="1" applyAlignment="1">
      <alignment horizontal="center" vertical="center"/>
    </xf>
    <xf numFmtId="165" fontId="0" fillId="0" borderId="21" xfId="0" applyNumberForma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1" xfId="0" applyFill="1" applyBorder="1" applyAlignment="1">
      <alignment vertical="center"/>
    </xf>
    <xf numFmtId="165" fontId="0" fillId="0" borderId="21" xfId="0" applyNumberFormat="1" applyFill="1" applyBorder="1" applyAlignment="1">
      <alignment horizontal="center" vertical="center" wrapText="1"/>
    </xf>
    <xf numFmtId="0" fontId="0" fillId="0" borderId="21" xfId="0" applyFill="1" applyBorder="1"/>
    <xf numFmtId="0" fontId="0" fillId="0" borderId="21" xfId="0" applyFill="1" applyBorder="1" applyAlignment="1">
      <alignment horizontal="center"/>
    </xf>
    <xf numFmtId="0" fontId="0" fillId="0" borderId="21" xfId="0" applyFill="1" applyBorder="1" applyAlignment="1">
      <alignment horizontal="left"/>
    </xf>
    <xf numFmtId="3" fontId="7" fillId="0" borderId="21" xfId="0" applyNumberFormat="1" applyFont="1" applyFill="1" applyBorder="1" applyAlignment="1">
      <alignment horizontal="center"/>
    </xf>
    <xf numFmtId="14" fontId="0" fillId="0" borderId="21" xfId="0" applyNumberFormat="1" applyFill="1" applyBorder="1" applyAlignment="1">
      <alignment horizontal="center"/>
    </xf>
    <xf numFmtId="3" fontId="0" fillId="0" borderId="21" xfId="0" applyNumberFormat="1" applyFill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6" fillId="8" borderId="21" xfId="0" applyFont="1" applyFill="1" applyBorder="1" applyAlignment="1">
      <alignment horizontal="center" vertical="center"/>
    </xf>
    <xf numFmtId="165" fontId="6" fillId="8" borderId="21" xfId="0" applyNumberFormat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3" fontId="6" fillId="4" borderId="18" xfId="0" applyNumberFormat="1" applyFont="1" applyFill="1" applyBorder="1" applyAlignment="1">
      <alignment horizontal="center"/>
    </xf>
    <xf numFmtId="3" fontId="6" fillId="4" borderId="20" xfId="0" applyNumberFormat="1" applyFont="1" applyFill="1" applyBorder="1" applyAlignment="1">
      <alignment horizontal="center"/>
    </xf>
    <xf numFmtId="3" fontId="7" fillId="3" borderId="24" xfId="0" applyNumberFormat="1" applyFont="1" applyFill="1" applyBorder="1" applyAlignment="1">
      <alignment horizontal="center" vertical="center"/>
    </xf>
    <xf numFmtId="3" fontId="7" fillId="3" borderId="30" xfId="0" applyNumberFormat="1" applyFont="1" applyFill="1" applyBorder="1" applyAlignment="1">
      <alignment horizontal="center" vertical="center"/>
    </xf>
    <xf numFmtId="3" fontId="7" fillId="3" borderId="29" xfId="0" applyNumberFormat="1" applyFont="1" applyFill="1" applyBorder="1" applyAlignment="1">
      <alignment horizontal="center" vertical="center"/>
    </xf>
    <xf numFmtId="3" fontId="7" fillId="3" borderId="31" xfId="0" applyNumberFormat="1" applyFont="1" applyFill="1" applyBorder="1" applyAlignment="1">
      <alignment horizontal="center" vertical="center"/>
    </xf>
    <xf numFmtId="3" fontId="7" fillId="3" borderId="32" xfId="0" applyNumberFormat="1" applyFont="1" applyFill="1" applyBorder="1" applyAlignment="1">
      <alignment horizontal="center" vertical="center"/>
    </xf>
    <xf numFmtId="3" fontId="7" fillId="3" borderId="33" xfId="0" applyNumberFormat="1" applyFont="1" applyFill="1" applyBorder="1" applyAlignment="1">
      <alignment horizontal="center" vertical="center"/>
    </xf>
    <xf numFmtId="165" fontId="6" fillId="8" borderId="21" xfId="0" applyNumberFormat="1" applyFont="1" applyFill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0" fontId="11" fillId="14" borderId="18" xfId="0" applyFont="1" applyFill="1" applyBorder="1" applyAlignment="1">
      <alignment horizontal="center"/>
    </xf>
    <xf numFmtId="0" fontId="11" fillId="14" borderId="20" xfId="0" applyFont="1" applyFill="1" applyBorder="1" applyAlignment="1">
      <alignment horizontal="center"/>
    </xf>
    <xf numFmtId="0" fontId="7" fillId="11" borderId="26" xfId="0" applyFont="1" applyFill="1" applyBorder="1" applyAlignment="1">
      <alignment horizontal="center"/>
    </xf>
    <xf numFmtId="0" fontId="7" fillId="11" borderId="2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9" borderId="20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10" borderId="27" xfId="0" applyFont="1" applyFill="1" applyBorder="1" applyAlignment="1">
      <alignment horizontal="center" vertical="center"/>
    </xf>
    <xf numFmtId="3" fontId="9" fillId="4" borderId="18" xfId="0" applyNumberFormat="1" applyFont="1" applyFill="1" applyBorder="1" applyAlignment="1">
      <alignment horizontal="center"/>
    </xf>
    <xf numFmtId="3" fontId="9" fillId="4" borderId="19" xfId="0" applyNumberFormat="1" applyFont="1" applyFill="1" applyBorder="1" applyAlignment="1">
      <alignment horizontal="center"/>
    </xf>
    <xf numFmtId="3" fontId="9" fillId="4" borderId="20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3" fontId="6" fillId="4" borderId="8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</cellXfs>
  <cellStyles count="5">
    <cellStyle name="Heading" xfId="1" xr:uid="{948E6008-9263-4D2A-ACF0-ADA8158126EF}"/>
    <cellStyle name="Heading1" xfId="2" xr:uid="{86E06F80-B9CC-433C-9B6F-6F656306C975}"/>
    <cellStyle name="Normal" xfId="0" builtinId="0" customBuiltin="1"/>
    <cellStyle name="Result" xfId="3" xr:uid="{90881E10-2D7A-4D67-B81D-55D4FD8C85BC}"/>
    <cellStyle name="Result2" xfId="4" xr:uid="{551BD309-0E39-4709-8E6E-B10DF31DAA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ngalrao vemuri" id="{97F88B9F-1B9C-4A0A-8272-C9ACDF0EE3B6}" userId="dbe2381296c1525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5-08-23T15:22:24.71" personId="{97F88B9F-1B9C-4A0A-8272-C9ACDF0EE3B6}" id="{FE6DEE67-F6BD-4323-98E8-09BFFE5945CE}">
    <text>Adding Amount of Spot Intrest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5-08-23T15:34:13.72" personId="{97F88B9F-1B9C-4A0A-8272-C9ACDF0EE3B6}" id="{AC19B01C-559A-492A-92FC-138E4EC6C6A7}">
    <text>Ragavendra Bodepudi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" dT="2025-08-23T15:34:13.72" personId="{97F88B9F-1B9C-4A0A-8272-C9ACDF0EE3B6}" id="{FE2BED25-C677-4A5F-90FE-45698CA49D3D}">
    <text>Ragavendra Bodepudi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8060-FC23-43F4-A56D-3D7D5D764EE8}">
  <dimension ref="A1:F6"/>
  <sheetViews>
    <sheetView workbookViewId="0">
      <selection activeCell="E35" sqref="E35"/>
    </sheetView>
  </sheetViews>
  <sheetFormatPr defaultRowHeight="14.25" x14ac:dyDescent="0.2"/>
  <cols>
    <col min="1" max="1" width="4.75" bestFit="1" customWidth="1"/>
    <col min="2" max="2" width="16.625" bestFit="1" customWidth="1"/>
    <col min="4" max="4" width="14.375" style="62" bestFit="1" customWidth="1"/>
    <col min="5" max="5" width="23.75" style="62" bestFit="1" customWidth="1"/>
    <col min="6" max="6" width="7.875" bestFit="1" customWidth="1"/>
  </cols>
  <sheetData>
    <row r="1" spans="1:6" ht="15" x14ac:dyDescent="0.25">
      <c r="A1" s="31" t="s">
        <v>67</v>
      </c>
      <c r="B1" s="31" t="s">
        <v>86</v>
      </c>
      <c r="C1" s="31" t="s">
        <v>4</v>
      </c>
      <c r="D1" s="136" t="s">
        <v>94</v>
      </c>
      <c r="E1" s="136" t="s">
        <v>95</v>
      </c>
      <c r="F1" s="31" t="s">
        <v>55</v>
      </c>
    </row>
    <row r="2" spans="1:6" x14ac:dyDescent="0.2">
      <c r="A2" s="32">
        <v>2026</v>
      </c>
      <c r="B2" s="32" t="s">
        <v>87</v>
      </c>
      <c r="C2" s="33">
        <v>34700</v>
      </c>
      <c r="D2" s="60">
        <v>0</v>
      </c>
      <c r="E2" s="60">
        <v>0</v>
      </c>
      <c r="F2" s="60">
        <v>34700</v>
      </c>
    </row>
    <row r="3" spans="1:6" x14ac:dyDescent="0.2">
      <c r="A3" s="32">
        <v>2025</v>
      </c>
      <c r="B3" s="32" t="s">
        <v>87</v>
      </c>
      <c r="C3" s="33">
        <v>29170</v>
      </c>
      <c r="D3" s="60">
        <v>2400</v>
      </c>
      <c r="E3" s="60">
        <v>4000</v>
      </c>
      <c r="F3" s="60">
        <f>C3+D3-E3</f>
        <v>27570</v>
      </c>
    </row>
    <row r="4" spans="1:6" x14ac:dyDescent="0.2">
      <c r="A4" s="32">
        <v>2024</v>
      </c>
      <c r="B4" s="32" t="s">
        <v>87</v>
      </c>
      <c r="C4" s="87">
        <v>30550</v>
      </c>
      <c r="D4" s="57">
        <v>0</v>
      </c>
      <c r="E4" s="57">
        <v>0</v>
      </c>
      <c r="F4" s="60">
        <f>SUM(C4:E4)</f>
        <v>30550</v>
      </c>
    </row>
    <row r="5" spans="1:6" x14ac:dyDescent="0.2">
      <c r="A5" s="32">
        <v>2023</v>
      </c>
      <c r="B5" s="32" t="s">
        <v>4</v>
      </c>
      <c r="C5" s="87">
        <v>176051</v>
      </c>
      <c r="D5" s="57">
        <v>0</v>
      </c>
      <c r="E5" s="57">
        <v>0</v>
      </c>
      <c r="F5" s="135">
        <f>SUM(C5:E5)</f>
        <v>176051</v>
      </c>
    </row>
    <row r="6" spans="1:6" ht="15" x14ac:dyDescent="0.25">
      <c r="A6" s="155" t="s">
        <v>55</v>
      </c>
      <c r="B6" s="156"/>
      <c r="C6" s="88">
        <f>SUM(C2:C5)</f>
        <v>270471</v>
      </c>
      <c r="D6" s="157"/>
      <c r="E6" s="158"/>
      <c r="F6" s="88">
        <f>SUM(F2:F5)</f>
        <v>268871</v>
      </c>
    </row>
  </sheetData>
  <mergeCells count="2">
    <mergeCell ref="A6:B6"/>
    <mergeCell ref="D6:E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B046-19E5-41CF-B14D-7F7216B9EA4A}">
  <dimension ref="A1:F14"/>
  <sheetViews>
    <sheetView workbookViewId="0">
      <selection activeCell="F32" sqref="F32"/>
    </sheetView>
  </sheetViews>
  <sheetFormatPr defaultRowHeight="14.25" x14ac:dyDescent="0.2"/>
  <cols>
    <col min="1" max="1" width="5.125" bestFit="1" customWidth="1"/>
    <col min="2" max="2" width="15.375" bestFit="1" customWidth="1"/>
    <col min="3" max="3" width="10.375" bestFit="1" customWidth="1"/>
    <col min="4" max="4" width="10.625" bestFit="1" customWidth="1"/>
    <col min="5" max="5" width="16.125" bestFit="1" customWidth="1"/>
    <col min="6" max="6" width="24.25" bestFit="1" customWidth="1"/>
  </cols>
  <sheetData>
    <row r="1" spans="1:6" ht="15" x14ac:dyDescent="0.2">
      <c r="A1" s="59" t="s">
        <v>0</v>
      </c>
      <c r="B1" s="59" t="s">
        <v>58</v>
      </c>
      <c r="C1" s="59" t="s">
        <v>2</v>
      </c>
      <c r="D1" s="59" t="s">
        <v>4</v>
      </c>
      <c r="E1" s="59" t="s">
        <v>123</v>
      </c>
      <c r="F1" s="66" t="s">
        <v>150</v>
      </c>
    </row>
    <row r="2" spans="1:6" ht="15" x14ac:dyDescent="0.2">
      <c r="A2" s="143">
        <v>1</v>
      </c>
      <c r="B2" s="139" t="s">
        <v>13</v>
      </c>
      <c r="C2" s="139" t="s">
        <v>14</v>
      </c>
      <c r="D2" s="140">
        <f>172707+700</f>
        <v>173407</v>
      </c>
      <c r="E2" s="141">
        <v>46174</v>
      </c>
      <c r="F2" s="142">
        <f>D2*0.02*3</f>
        <v>10404.42</v>
      </c>
    </row>
    <row r="3" spans="1:6" ht="15" x14ac:dyDescent="0.2">
      <c r="A3" s="143">
        <v>2</v>
      </c>
      <c r="B3" s="139" t="s">
        <v>160</v>
      </c>
      <c r="C3" s="144" t="s">
        <v>14</v>
      </c>
      <c r="D3" s="140">
        <v>100000</v>
      </c>
      <c r="E3" s="141">
        <v>46174</v>
      </c>
      <c r="F3" s="142">
        <f t="shared" ref="F3:F8" si="0">D3*0.02*3</f>
        <v>6000</v>
      </c>
    </row>
    <row r="4" spans="1:6" ht="15" x14ac:dyDescent="0.2">
      <c r="A4" s="143">
        <v>4</v>
      </c>
      <c r="B4" s="139" t="s">
        <v>161</v>
      </c>
      <c r="C4" s="139" t="s">
        <v>14</v>
      </c>
      <c r="D4" s="140">
        <v>100000</v>
      </c>
      <c r="E4" s="141">
        <v>46174</v>
      </c>
      <c r="F4" s="142">
        <f>D4*0.02*3</f>
        <v>6000</v>
      </c>
    </row>
    <row r="5" spans="1:6" ht="15" x14ac:dyDescent="0.2">
      <c r="A5" s="143">
        <v>4</v>
      </c>
      <c r="B5" s="139" t="s">
        <v>163</v>
      </c>
      <c r="C5" s="56" t="s">
        <v>14</v>
      </c>
      <c r="D5" s="140">
        <v>75000</v>
      </c>
      <c r="E5" s="152">
        <v>46213</v>
      </c>
      <c r="F5" s="142">
        <f>D5*0.02*1.8</f>
        <v>2700</v>
      </c>
    </row>
    <row r="6" spans="1:6" ht="15" x14ac:dyDescent="0.2">
      <c r="A6" s="143">
        <v>3</v>
      </c>
      <c r="B6" s="139" t="s">
        <v>13</v>
      </c>
      <c r="C6" s="144" t="s">
        <v>23</v>
      </c>
      <c r="D6" s="140">
        <v>50000</v>
      </c>
      <c r="E6" s="141">
        <v>46174</v>
      </c>
      <c r="F6" s="142">
        <v>4000</v>
      </c>
    </row>
    <row r="7" spans="1:6" ht="15" x14ac:dyDescent="0.2">
      <c r="A7" s="143">
        <v>5</v>
      </c>
      <c r="B7" s="146" t="s">
        <v>17</v>
      </c>
      <c r="C7" s="146" t="s">
        <v>18</v>
      </c>
      <c r="D7" s="140">
        <v>50000</v>
      </c>
      <c r="E7" s="141">
        <v>46174</v>
      </c>
      <c r="F7" s="142">
        <f t="shared" si="0"/>
        <v>3000</v>
      </c>
    </row>
    <row r="8" spans="1:6" ht="15" x14ac:dyDescent="0.2">
      <c r="A8" s="143">
        <v>6</v>
      </c>
      <c r="B8" s="139" t="s">
        <v>154</v>
      </c>
      <c r="C8" s="139" t="s">
        <v>18</v>
      </c>
      <c r="D8" s="140">
        <v>50000</v>
      </c>
      <c r="E8" s="141">
        <v>46174</v>
      </c>
      <c r="F8" s="142">
        <f t="shared" si="0"/>
        <v>3000</v>
      </c>
    </row>
    <row r="9" spans="1:6" ht="15" x14ac:dyDescent="0.2">
      <c r="A9" s="143">
        <v>7</v>
      </c>
      <c r="B9" s="139" t="s">
        <v>149</v>
      </c>
      <c r="C9" s="139" t="s">
        <v>14</v>
      </c>
      <c r="D9" s="140">
        <v>50000</v>
      </c>
      <c r="E9" s="141">
        <v>46174</v>
      </c>
      <c r="F9" s="142">
        <f>D9*0.02*3</f>
        <v>3000</v>
      </c>
    </row>
    <row r="10" spans="1:6" ht="15" x14ac:dyDescent="0.25">
      <c r="A10" s="147">
        <v>8</v>
      </c>
      <c r="B10" s="148" t="s">
        <v>156</v>
      </c>
      <c r="C10" s="148" t="s">
        <v>14</v>
      </c>
      <c r="D10" s="149">
        <v>43000</v>
      </c>
      <c r="E10" s="150">
        <v>46204</v>
      </c>
      <c r="F10" s="151">
        <f>D10*0.02*2</f>
        <v>1720</v>
      </c>
    </row>
    <row r="11" spans="1:6" ht="15" x14ac:dyDescent="0.2">
      <c r="A11" s="143">
        <v>9</v>
      </c>
      <c r="B11" s="146" t="s">
        <v>164</v>
      </c>
      <c r="C11" s="146" t="s">
        <v>14</v>
      </c>
      <c r="D11" s="140">
        <v>25000</v>
      </c>
      <c r="E11" s="141">
        <v>46218</v>
      </c>
      <c r="F11" s="142">
        <v>750</v>
      </c>
    </row>
    <row r="12" spans="1:6" ht="15" x14ac:dyDescent="0.2">
      <c r="A12" s="143">
        <v>12</v>
      </c>
      <c r="B12" s="139" t="s">
        <v>158</v>
      </c>
      <c r="C12" s="139" t="s">
        <v>157</v>
      </c>
      <c r="D12" s="140">
        <v>10000</v>
      </c>
      <c r="E12" s="141">
        <v>46213</v>
      </c>
      <c r="F12" s="142">
        <f>D12*0.02*1.8</f>
        <v>360</v>
      </c>
    </row>
    <row r="13" spans="1:6" ht="15" x14ac:dyDescent="0.2">
      <c r="A13" s="143">
        <v>13</v>
      </c>
      <c r="B13" s="139" t="s">
        <v>159</v>
      </c>
      <c r="C13" s="139" t="s">
        <v>36</v>
      </c>
      <c r="D13" s="140">
        <v>6000</v>
      </c>
      <c r="E13" s="141">
        <v>46213</v>
      </c>
      <c r="F13" s="142">
        <f>D13*0.02*1.8</f>
        <v>216</v>
      </c>
    </row>
    <row r="14" spans="1:6" ht="18" x14ac:dyDescent="0.2">
      <c r="A14" s="159" t="s">
        <v>55</v>
      </c>
      <c r="B14" s="159"/>
      <c r="C14" s="159"/>
      <c r="D14" s="154">
        <f>SUM(D2:D13)</f>
        <v>732407</v>
      </c>
      <c r="E14" s="153"/>
      <c r="F14" s="154">
        <f t="shared" ref="F14" si="1">SUM(F2:F13)</f>
        <v>41150.42</v>
      </c>
    </row>
  </sheetData>
  <mergeCells count="1">
    <mergeCell ref="A14:C1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0664-885B-47EA-909F-7B11B7164FBE}">
  <dimension ref="A1:N16"/>
  <sheetViews>
    <sheetView zoomScale="90" zoomScaleNormal="90" workbookViewId="0">
      <selection activeCell="I23" sqref="I23"/>
    </sheetView>
  </sheetViews>
  <sheetFormatPr defaultRowHeight="14.25" x14ac:dyDescent="0.2"/>
  <cols>
    <col min="1" max="1" width="5.5" bestFit="1" customWidth="1"/>
    <col min="2" max="2" width="10.625" bestFit="1" customWidth="1"/>
    <col min="3" max="3" width="7.75" bestFit="1" customWidth="1"/>
    <col min="4" max="4" width="9.375" bestFit="1" customWidth="1"/>
    <col min="5" max="5" width="13.375" bestFit="1" customWidth="1"/>
    <col min="6" max="6" width="11.875" bestFit="1" customWidth="1"/>
    <col min="7" max="7" width="13.375" bestFit="1" customWidth="1"/>
    <col min="8" max="8" width="9.875" bestFit="1" customWidth="1"/>
    <col min="9" max="9" width="77.5" customWidth="1"/>
    <col min="10" max="10" width="14.5" bestFit="1" customWidth="1"/>
    <col min="11" max="11" width="9.125" bestFit="1" customWidth="1"/>
    <col min="12" max="12" width="20.25" customWidth="1"/>
  </cols>
  <sheetData>
    <row r="1" spans="1:14" ht="16.5" thickBot="1" x14ac:dyDescent="0.25">
      <c r="A1" s="1" t="s">
        <v>0</v>
      </c>
      <c r="B1" s="3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124</v>
      </c>
      <c r="I1" s="1" t="s">
        <v>10</v>
      </c>
      <c r="J1" s="128" t="s">
        <v>11</v>
      </c>
      <c r="K1" s="99" t="s">
        <v>140</v>
      </c>
      <c r="L1" s="1" t="s">
        <v>12</v>
      </c>
    </row>
    <row r="2" spans="1:14" ht="15.75" thickBot="1" x14ac:dyDescent="0.25">
      <c r="A2" s="4">
        <v>1</v>
      </c>
      <c r="B2" s="7" t="s">
        <v>15</v>
      </c>
      <c r="C2" s="124">
        <v>5200</v>
      </c>
      <c r="D2" s="124">
        <v>0</v>
      </c>
      <c r="E2" s="125">
        <v>1280</v>
      </c>
      <c r="F2" s="124">
        <v>200</v>
      </c>
      <c r="G2" s="124">
        <v>300</v>
      </c>
      <c r="H2" s="125">
        <v>900</v>
      </c>
      <c r="I2" s="127" t="s">
        <v>162</v>
      </c>
      <c r="J2" s="131">
        <v>12185</v>
      </c>
      <c r="K2" s="134">
        <v>13716</v>
      </c>
      <c r="L2" s="126">
        <f>SUM(C2:D2:E2:F2:G2:H2:J2)</f>
        <v>20065</v>
      </c>
    </row>
    <row r="3" spans="1:14" ht="129" thickBot="1" x14ac:dyDescent="0.25">
      <c r="A3" s="4">
        <v>2</v>
      </c>
      <c r="B3" s="7" t="s">
        <v>19</v>
      </c>
      <c r="C3" s="124">
        <v>5200</v>
      </c>
      <c r="D3" s="125">
        <v>1500</v>
      </c>
      <c r="E3" s="125">
        <v>1280</v>
      </c>
      <c r="F3" s="124">
        <v>230</v>
      </c>
      <c r="G3" s="124">
        <v>619</v>
      </c>
      <c r="H3" s="125">
        <v>900</v>
      </c>
      <c r="I3" s="129" t="s">
        <v>165</v>
      </c>
      <c r="J3" s="131">
        <v>40300</v>
      </c>
      <c r="K3" s="134">
        <v>13717</v>
      </c>
      <c r="L3" s="126">
        <f>SUM(C3:D3:E3:F3:G3:H3:J3)</f>
        <v>50029</v>
      </c>
    </row>
    <row r="4" spans="1:14" ht="15.75" thickBot="1" x14ac:dyDescent="0.25">
      <c r="A4" s="4">
        <v>3</v>
      </c>
      <c r="B4" s="7" t="s">
        <v>21</v>
      </c>
      <c r="C4" s="124">
        <v>5200</v>
      </c>
      <c r="D4" s="125">
        <v>1500</v>
      </c>
      <c r="E4" s="125">
        <v>1280</v>
      </c>
      <c r="F4" s="124">
        <v>300</v>
      </c>
      <c r="G4" s="124">
        <v>0</v>
      </c>
      <c r="H4" s="125">
        <v>900</v>
      </c>
      <c r="I4" s="127" t="s">
        <v>166</v>
      </c>
      <c r="J4" s="131">
        <v>500</v>
      </c>
      <c r="K4" s="134">
        <v>13717</v>
      </c>
      <c r="L4" s="126">
        <f>SUM(C4:D4:E4:F4:G4:H4:J4)</f>
        <v>9680</v>
      </c>
    </row>
    <row r="5" spans="1:14" ht="15.75" thickBot="1" x14ac:dyDescent="0.25">
      <c r="A5" s="4">
        <v>4</v>
      </c>
      <c r="B5" s="7" t="s">
        <v>24</v>
      </c>
      <c r="C5" s="8"/>
      <c r="D5" s="8"/>
      <c r="E5" s="8"/>
      <c r="F5" s="124"/>
      <c r="G5" s="124"/>
      <c r="H5" s="125"/>
      <c r="I5" s="122"/>
      <c r="J5" s="132"/>
      <c r="K5" s="134"/>
      <c r="L5" s="126"/>
    </row>
    <row r="6" spans="1:14" ht="15.75" thickBot="1" x14ac:dyDescent="0.25">
      <c r="A6" s="4">
        <v>5</v>
      </c>
      <c r="B6" s="7" t="s">
        <v>27</v>
      </c>
      <c r="C6" s="8"/>
      <c r="D6" s="8"/>
      <c r="E6" s="8"/>
      <c r="F6" s="124"/>
      <c r="G6" s="124"/>
      <c r="H6" s="125"/>
      <c r="I6" s="122"/>
      <c r="J6" s="132"/>
      <c r="K6" s="134"/>
      <c r="L6" s="126"/>
    </row>
    <row r="7" spans="1:14" ht="15.75" thickBot="1" x14ac:dyDescent="0.25">
      <c r="A7" s="4">
        <v>6</v>
      </c>
      <c r="B7" s="7" t="s">
        <v>30</v>
      </c>
      <c r="C7" s="8"/>
      <c r="D7" s="8"/>
      <c r="E7" s="8"/>
      <c r="F7" s="124"/>
      <c r="G7" s="124"/>
      <c r="H7" s="125"/>
      <c r="I7" s="122"/>
      <c r="J7" s="132"/>
      <c r="K7" s="134"/>
      <c r="L7" s="126"/>
    </row>
    <row r="8" spans="1:14" ht="15.75" thickBot="1" x14ac:dyDescent="0.25">
      <c r="A8" s="4">
        <v>7</v>
      </c>
      <c r="B8" s="7" t="s">
        <v>34</v>
      </c>
      <c r="C8" s="8"/>
      <c r="D8" s="8"/>
      <c r="E8" s="8"/>
      <c r="F8" s="124"/>
      <c r="G8" s="124"/>
      <c r="H8" s="125"/>
      <c r="I8" s="122"/>
      <c r="J8" s="132"/>
      <c r="K8" s="134"/>
      <c r="L8" s="126"/>
    </row>
    <row r="9" spans="1:14" ht="15.75" thickBot="1" x14ac:dyDescent="0.25">
      <c r="A9" s="4">
        <v>8</v>
      </c>
      <c r="B9" s="7" t="s">
        <v>37</v>
      </c>
      <c r="C9" s="8"/>
      <c r="D9" s="8"/>
      <c r="E9" s="8"/>
      <c r="F9" s="124"/>
      <c r="G9" s="124"/>
      <c r="H9" s="125"/>
      <c r="I9" s="122"/>
      <c r="J9" s="132"/>
      <c r="K9" s="134"/>
      <c r="L9" s="126"/>
      <c r="N9" s="130"/>
    </row>
    <row r="10" spans="1:14" ht="15.75" thickBot="1" x14ac:dyDescent="0.25">
      <c r="A10" s="4">
        <v>9</v>
      </c>
      <c r="B10" s="7" t="s">
        <v>41</v>
      </c>
      <c r="C10" s="8"/>
      <c r="D10" s="8"/>
      <c r="E10" s="8"/>
      <c r="F10" s="124"/>
      <c r="G10" s="124"/>
      <c r="H10" s="125"/>
      <c r="I10" s="122"/>
      <c r="J10" s="132"/>
      <c r="K10" s="134"/>
      <c r="L10" s="126"/>
    </row>
    <row r="11" spans="1:14" ht="15.75" thickBot="1" x14ac:dyDescent="0.25">
      <c r="A11" s="4">
        <v>10</v>
      </c>
      <c r="B11" s="7" t="s">
        <v>44</v>
      </c>
      <c r="C11" s="8"/>
      <c r="D11" s="8"/>
      <c r="E11" s="8"/>
      <c r="F11" s="124"/>
      <c r="G11" s="124"/>
      <c r="H11" s="125"/>
      <c r="I11" s="122"/>
      <c r="J11" s="132"/>
      <c r="K11" s="134"/>
      <c r="L11" s="126"/>
    </row>
    <row r="12" spans="1:14" ht="15.75" thickBot="1" x14ac:dyDescent="0.25">
      <c r="A12" s="4">
        <v>11</v>
      </c>
      <c r="B12" s="7" t="s">
        <v>48</v>
      </c>
      <c r="C12" s="8"/>
      <c r="D12" s="8"/>
      <c r="E12" s="8"/>
      <c r="F12" s="124"/>
      <c r="G12" s="124"/>
      <c r="H12" s="125"/>
      <c r="I12" s="122"/>
      <c r="J12" s="132"/>
      <c r="K12" s="134"/>
      <c r="L12" s="126"/>
    </row>
    <row r="13" spans="1:14" ht="15.75" thickBot="1" x14ac:dyDescent="0.25">
      <c r="A13" s="4">
        <v>12</v>
      </c>
      <c r="B13" s="7" t="s">
        <v>50</v>
      </c>
      <c r="C13" s="10"/>
      <c r="D13" s="10"/>
      <c r="E13" s="10"/>
      <c r="F13" s="124"/>
      <c r="G13" s="124"/>
      <c r="H13" s="125"/>
      <c r="I13" s="122"/>
      <c r="J13" s="133"/>
      <c r="K13" s="134"/>
      <c r="L13" s="126"/>
    </row>
    <row r="14" spans="1:14" ht="16.5" thickBot="1" x14ac:dyDescent="0.25">
      <c r="A14" s="160" t="s">
        <v>55</v>
      </c>
      <c r="B14" s="161"/>
      <c r="C14" s="100">
        <f t="shared" ref="C14:H14" si="0">SUM(C2:C13)</f>
        <v>15600</v>
      </c>
      <c r="D14" s="100">
        <f t="shared" si="0"/>
        <v>3000</v>
      </c>
      <c r="E14" s="100">
        <f t="shared" si="0"/>
        <v>3840</v>
      </c>
      <c r="F14" s="100">
        <f t="shared" si="0"/>
        <v>730</v>
      </c>
      <c r="G14" s="100">
        <f t="shared" si="0"/>
        <v>919</v>
      </c>
      <c r="H14" s="100">
        <f t="shared" si="0"/>
        <v>2700</v>
      </c>
      <c r="I14" s="101" t="s">
        <v>35</v>
      </c>
      <c r="J14" s="119">
        <f>SUM(J2:J13)</f>
        <v>52985</v>
      </c>
      <c r="K14" s="119">
        <f>SUM(K2:K13)</f>
        <v>41150</v>
      </c>
      <c r="L14" s="100">
        <f>SUM(L2:L13)</f>
        <v>79774</v>
      </c>
    </row>
    <row r="15" spans="1:14" ht="18.75" thickBot="1" x14ac:dyDescent="0.3">
      <c r="A15" s="162" t="s">
        <v>56</v>
      </c>
      <c r="B15" s="163"/>
      <c r="C15" s="163"/>
      <c r="D15" s="163"/>
      <c r="E15" s="163"/>
      <c r="F15" s="163"/>
      <c r="G15" s="163"/>
      <c r="H15" s="163"/>
      <c r="I15" s="163"/>
      <c r="J15" s="164"/>
      <c r="K15" s="165">
        <f>K14-L14</f>
        <v>-38624</v>
      </c>
      <c r="L15" s="166"/>
    </row>
    <row r="16" spans="1:14" ht="14.1" customHeight="1" x14ac:dyDescent="0.2"/>
  </sheetData>
  <mergeCells count="3">
    <mergeCell ref="A14:B14"/>
    <mergeCell ref="A15:J15"/>
    <mergeCell ref="K15:L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91BE-D697-4A67-AA27-D3F6A4BC4ED9}">
  <dimension ref="A1:P22"/>
  <sheetViews>
    <sheetView tabSelected="1" workbookViewId="0">
      <selection activeCell="I27" sqref="I27"/>
    </sheetView>
  </sheetViews>
  <sheetFormatPr defaultRowHeight="14.25" x14ac:dyDescent="0.2"/>
  <cols>
    <col min="1" max="1" width="5.125" bestFit="1" customWidth="1"/>
    <col min="2" max="2" width="15.375" bestFit="1" customWidth="1"/>
    <col min="3" max="3" width="10.375" bestFit="1" customWidth="1"/>
    <col min="4" max="4" width="10.625" bestFit="1" customWidth="1"/>
    <col min="5" max="5" width="16.125" bestFit="1" customWidth="1"/>
    <col min="6" max="6" width="15.625" bestFit="1" customWidth="1"/>
    <col min="7" max="7" width="17.25" bestFit="1" customWidth="1"/>
    <col min="8" max="9" width="16.875" bestFit="1" customWidth="1"/>
    <col min="10" max="10" width="10.625" bestFit="1" customWidth="1"/>
    <col min="11" max="11" width="11.875" bestFit="1" customWidth="1"/>
    <col min="12" max="12" width="10.625" bestFit="1" customWidth="1"/>
  </cols>
  <sheetData>
    <row r="1" spans="1:12" ht="30" x14ac:dyDescent="0.2">
      <c r="A1" s="59" t="s">
        <v>0</v>
      </c>
      <c r="B1" s="59" t="s">
        <v>58</v>
      </c>
      <c r="C1" s="59" t="s">
        <v>2</v>
      </c>
      <c r="D1" s="59" t="s">
        <v>4</v>
      </c>
      <c r="E1" s="59" t="s">
        <v>123</v>
      </c>
      <c r="F1" s="66" t="s">
        <v>150</v>
      </c>
      <c r="G1" s="66" t="s">
        <v>151</v>
      </c>
      <c r="H1" s="66" t="s">
        <v>152</v>
      </c>
      <c r="I1" s="66" t="s">
        <v>153</v>
      </c>
      <c r="J1" s="59" t="s">
        <v>55</v>
      </c>
      <c r="K1" s="59" t="s">
        <v>61</v>
      </c>
      <c r="L1" s="59" t="s">
        <v>62</v>
      </c>
    </row>
    <row r="2" spans="1:12" ht="15" x14ac:dyDescent="0.2">
      <c r="A2" s="143">
        <v>1</v>
      </c>
      <c r="B2" s="139" t="s">
        <v>13</v>
      </c>
      <c r="C2" s="139" t="s">
        <v>14</v>
      </c>
      <c r="D2" s="140">
        <f>172707+700</f>
        <v>173407</v>
      </c>
      <c r="E2" s="141">
        <v>46174</v>
      </c>
      <c r="F2" s="142">
        <f>D2*0.02*3</f>
        <v>10404.42</v>
      </c>
      <c r="G2" s="142">
        <f t="shared" ref="G2:G11" si="0">D2*0.02*3</f>
        <v>10404.42</v>
      </c>
      <c r="H2" s="142">
        <f t="shared" ref="H2:H11" si="1">D2*0.02*3</f>
        <v>10404.42</v>
      </c>
      <c r="I2" s="142">
        <f t="shared" ref="I2:I11" si="2">D2*0.02*3</f>
        <v>10404.42</v>
      </c>
      <c r="J2" s="140">
        <f>SUM(F2:I2)</f>
        <v>41617.68</v>
      </c>
      <c r="K2" s="142">
        <v>0</v>
      </c>
      <c r="L2" s="142">
        <f>J2-K2</f>
        <v>41617.68</v>
      </c>
    </row>
    <row r="3" spans="1:12" ht="15" x14ac:dyDescent="0.2">
      <c r="A3" s="143">
        <v>2</v>
      </c>
      <c r="B3" s="139" t="s">
        <v>160</v>
      </c>
      <c r="C3" s="144" t="s">
        <v>14</v>
      </c>
      <c r="D3" s="140">
        <v>100000</v>
      </c>
      <c r="E3" s="141">
        <v>46174</v>
      </c>
      <c r="F3" s="142">
        <f t="shared" ref="F3:F8" si="3">D3*0.02*3</f>
        <v>6000</v>
      </c>
      <c r="G3" s="145">
        <f t="shared" si="0"/>
        <v>6000</v>
      </c>
      <c r="H3" s="145">
        <f t="shared" si="1"/>
        <v>6000</v>
      </c>
      <c r="I3" s="142">
        <f t="shared" si="2"/>
        <v>6000</v>
      </c>
      <c r="J3" s="140">
        <f t="shared" ref="J3:J11" si="4">SUM(F3:I3)</f>
        <v>24000</v>
      </c>
      <c r="K3" s="142">
        <v>0</v>
      </c>
      <c r="L3" s="142">
        <f t="shared" ref="L3:L11" si="5">J3-K3</f>
        <v>24000</v>
      </c>
    </row>
    <row r="4" spans="1:12" ht="15" x14ac:dyDescent="0.2">
      <c r="A4" s="143">
        <v>4</v>
      </c>
      <c r="B4" s="139" t="s">
        <v>161</v>
      </c>
      <c r="C4" s="139" t="s">
        <v>14</v>
      </c>
      <c r="D4" s="140">
        <v>100000</v>
      </c>
      <c r="E4" s="141">
        <v>46174</v>
      </c>
      <c r="F4" s="142">
        <f>D4*0.02*3</f>
        <v>6000</v>
      </c>
      <c r="G4" s="142">
        <f>D4*0.02*3</f>
        <v>6000</v>
      </c>
      <c r="H4" s="142">
        <f>D4*0.02*3</f>
        <v>6000</v>
      </c>
      <c r="I4" s="142">
        <f>D4*0.02*3</f>
        <v>6000</v>
      </c>
      <c r="J4" s="140">
        <f>SUM(F4:I4)</f>
        <v>24000</v>
      </c>
      <c r="K4" s="142">
        <v>0</v>
      </c>
      <c r="L4" s="142">
        <f>J4-K4</f>
        <v>24000</v>
      </c>
    </row>
    <row r="5" spans="1:12" ht="15" x14ac:dyDescent="0.2">
      <c r="A5" s="143">
        <v>4</v>
      </c>
      <c r="B5" s="139" t="s">
        <v>163</v>
      </c>
      <c r="C5" s="56" t="s">
        <v>14</v>
      </c>
      <c r="D5" s="140">
        <v>75000</v>
      </c>
      <c r="E5" s="152">
        <v>46213</v>
      </c>
      <c r="F5" s="142">
        <f>D5*0.02*1.8</f>
        <v>2700</v>
      </c>
      <c r="G5" s="142">
        <f>D5*0.02*3</f>
        <v>4500</v>
      </c>
      <c r="H5" s="142">
        <f>D5*0.02*3</f>
        <v>4500</v>
      </c>
      <c r="I5" s="142">
        <f>D5*0.02*3</f>
        <v>4500</v>
      </c>
      <c r="J5" s="140">
        <f>SUM(F5:I5)</f>
        <v>16200</v>
      </c>
      <c r="K5" s="142">
        <v>0</v>
      </c>
      <c r="L5" s="142">
        <f>J5-K5</f>
        <v>16200</v>
      </c>
    </row>
    <row r="6" spans="1:12" ht="15" x14ac:dyDescent="0.2">
      <c r="A6" s="143">
        <v>3</v>
      </c>
      <c r="B6" s="139" t="s">
        <v>13</v>
      </c>
      <c r="C6" s="144" t="s">
        <v>23</v>
      </c>
      <c r="D6" s="140">
        <v>50000</v>
      </c>
      <c r="E6" s="141">
        <v>46174</v>
      </c>
      <c r="F6" s="142">
        <v>4000</v>
      </c>
      <c r="G6" s="142">
        <f>D6*0.02*3</f>
        <v>3000</v>
      </c>
      <c r="H6" s="142">
        <f>D6*0.02*3</f>
        <v>3000</v>
      </c>
      <c r="I6" s="142">
        <f>D6*0.02*3</f>
        <v>3000</v>
      </c>
      <c r="J6" s="140">
        <f>SUM(F6:I6)</f>
        <v>13000</v>
      </c>
      <c r="K6" s="142">
        <v>0</v>
      </c>
      <c r="L6" s="142">
        <f>J6-K6</f>
        <v>13000</v>
      </c>
    </row>
    <row r="7" spans="1:12" ht="15" x14ac:dyDescent="0.2">
      <c r="A7" s="143">
        <v>5</v>
      </c>
      <c r="B7" s="146" t="s">
        <v>17</v>
      </c>
      <c r="C7" s="146" t="s">
        <v>18</v>
      </c>
      <c r="D7" s="140">
        <v>50000</v>
      </c>
      <c r="E7" s="141">
        <v>46174</v>
      </c>
      <c r="F7" s="142">
        <f t="shared" si="3"/>
        <v>3000</v>
      </c>
      <c r="G7" s="142">
        <f t="shared" si="0"/>
        <v>3000</v>
      </c>
      <c r="H7" s="142">
        <f t="shared" si="1"/>
        <v>3000</v>
      </c>
      <c r="I7" s="142">
        <f t="shared" si="2"/>
        <v>3000</v>
      </c>
      <c r="J7" s="140">
        <f t="shared" si="4"/>
        <v>12000</v>
      </c>
      <c r="K7" s="142">
        <v>0</v>
      </c>
      <c r="L7" s="142">
        <f t="shared" si="5"/>
        <v>12000</v>
      </c>
    </row>
    <row r="8" spans="1:12" ht="15" x14ac:dyDescent="0.2">
      <c r="A8" s="143">
        <v>6</v>
      </c>
      <c r="B8" s="139" t="s">
        <v>154</v>
      </c>
      <c r="C8" s="139" t="s">
        <v>18</v>
      </c>
      <c r="D8" s="140">
        <v>50000</v>
      </c>
      <c r="E8" s="141">
        <v>46174</v>
      </c>
      <c r="F8" s="142">
        <f t="shared" si="3"/>
        <v>3000</v>
      </c>
      <c r="G8" s="142">
        <f t="shared" si="0"/>
        <v>3000</v>
      </c>
      <c r="H8" s="142">
        <f t="shared" si="1"/>
        <v>3000</v>
      </c>
      <c r="I8" s="142">
        <f t="shared" si="2"/>
        <v>3000</v>
      </c>
      <c r="J8" s="140">
        <f t="shared" si="4"/>
        <v>12000</v>
      </c>
      <c r="K8" s="142">
        <v>0</v>
      </c>
      <c r="L8" s="142">
        <f t="shared" si="5"/>
        <v>12000</v>
      </c>
    </row>
    <row r="9" spans="1:12" ht="15" x14ac:dyDescent="0.2">
      <c r="A9" s="143">
        <v>7</v>
      </c>
      <c r="B9" s="139" t="s">
        <v>149</v>
      </c>
      <c r="C9" s="139" t="s">
        <v>14</v>
      </c>
      <c r="D9" s="140">
        <v>50000</v>
      </c>
      <c r="E9" s="141">
        <v>46174</v>
      </c>
      <c r="F9" s="142">
        <f>D9*0.02*3</f>
        <v>3000</v>
      </c>
      <c r="G9" s="142">
        <f>D9*0.02*3</f>
        <v>3000</v>
      </c>
      <c r="H9" s="142">
        <f>D9*0.02*3</f>
        <v>3000</v>
      </c>
      <c r="I9" s="142">
        <f>D9*0.02*3</f>
        <v>3000</v>
      </c>
      <c r="J9" s="140">
        <f>SUM(F9:I9)</f>
        <v>12000</v>
      </c>
      <c r="K9" s="142">
        <v>0</v>
      </c>
      <c r="L9" s="142">
        <f>J9-K9</f>
        <v>12000</v>
      </c>
    </row>
    <row r="10" spans="1:12" ht="15" x14ac:dyDescent="0.25">
      <c r="A10" s="147">
        <v>8</v>
      </c>
      <c r="B10" s="148" t="s">
        <v>156</v>
      </c>
      <c r="C10" s="148" t="s">
        <v>14</v>
      </c>
      <c r="D10" s="149">
        <v>43000</v>
      </c>
      <c r="E10" s="150">
        <v>46204</v>
      </c>
      <c r="F10" s="151">
        <f>D10*0.02*2</f>
        <v>1720</v>
      </c>
      <c r="G10" s="151">
        <f>D10*0.02*3</f>
        <v>2580</v>
      </c>
      <c r="H10" s="151">
        <f>D10*0.02*3</f>
        <v>2580</v>
      </c>
      <c r="I10" s="151">
        <f>D10*0.02*3</f>
        <v>2580</v>
      </c>
      <c r="J10" s="149">
        <f>SUM(F10:I10)</f>
        <v>9460</v>
      </c>
      <c r="K10" s="151">
        <v>0</v>
      </c>
      <c r="L10" s="151">
        <f t="shared" si="5"/>
        <v>9460</v>
      </c>
    </row>
    <row r="11" spans="1:12" ht="15" x14ac:dyDescent="0.2">
      <c r="A11" s="143">
        <v>9</v>
      </c>
      <c r="B11" s="146" t="s">
        <v>164</v>
      </c>
      <c r="C11" s="146" t="s">
        <v>14</v>
      </c>
      <c r="D11" s="140">
        <v>25000</v>
      </c>
      <c r="E11" s="141">
        <v>46218</v>
      </c>
      <c r="F11" s="142">
        <v>750</v>
      </c>
      <c r="G11" s="142">
        <f t="shared" si="0"/>
        <v>1500</v>
      </c>
      <c r="H11" s="142">
        <f t="shared" si="1"/>
        <v>1500</v>
      </c>
      <c r="I11" s="142">
        <f t="shared" si="2"/>
        <v>1500</v>
      </c>
      <c r="J11" s="140">
        <f t="shared" si="4"/>
        <v>5250</v>
      </c>
      <c r="K11" s="142">
        <v>0</v>
      </c>
      <c r="L11" s="142">
        <f t="shared" si="5"/>
        <v>5250</v>
      </c>
    </row>
    <row r="12" spans="1:12" ht="15" x14ac:dyDescent="0.2">
      <c r="A12" s="143">
        <v>12</v>
      </c>
      <c r="B12" s="139" t="s">
        <v>158</v>
      </c>
      <c r="C12" s="139" t="s">
        <v>157</v>
      </c>
      <c r="D12" s="140">
        <v>10000</v>
      </c>
      <c r="E12" s="141">
        <v>46213</v>
      </c>
      <c r="F12" s="142">
        <f>D12*0.02*1.8</f>
        <v>360</v>
      </c>
      <c r="G12" s="142">
        <f>D12*0.02*3</f>
        <v>600</v>
      </c>
      <c r="H12" s="142">
        <f>D12*0.02*3</f>
        <v>600</v>
      </c>
      <c r="I12" s="142">
        <f>D12*0.02*3</f>
        <v>600</v>
      </c>
      <c r="J12" s="140">
        <f>SUM(F12:I12)</f>
        <v>2160</v>
      </c>
      <c r="K12" s="142">
        <v>0</v>
      </c>
      <c r="L12" s="142">
        <f>J12-K12</f>
        <v>2160</v>
      </c>
    </row>
    <row r="13" spans="1:12" ht="15" x14ac:dyDescent="0.2">
      <c r="A13" s="143">
        <v>13</v>
      </c>
      <c r="B13" s="139" t="s">
        <v>159</v>
      </c>
      <c r="C13" s="139" t="s">
        <v>36</v>
      </c>
      <c r="D13" s="140">
        <v>6000</v>
      </c>
      <c r="E13" s="141">
        <v>46213</v>
      </c>
      <c r="F13" s="142">
        <f>D13*0.02*1.8</f>
        <v>216</v>
      </c>
      <c r="G13" s="142">
        <f>D13*0.02*3</f>
        <v>360</v>
      </c>
      <c r="H13" s="142">
        <f>D13*0.02*3</f>
        <v>360</v>
      </c>
      <c r="I13" s="142">
        <f>D13*0.02*3</f>
        <v>360</v>
      </c>
      <c r="J13" s="140">
        <f>SUM(F13:I13)</f>
        <v>1296</v>
      </c>
      <c r="K13" s="142">
        <v>0</v>
      </c>
      <c r="L13" s="142">
        <f>J13-K13</f>
        <v>1296</v>
      </c>
    </row>
    <row r="14" spans="1:12" ht="18" x14ac:dyDescent="0.2">
      <c r="A14" s="159" t="s">
        <v>55</v>
      </c>
      <c r="B14" s="159"/>
      <c r="C14" s="159"/>
      <c r="D14" s="138">
        <f>SUM(D2:D13)</f>
        <v>732407</v>
      </c>
      <c r="E14" s="137"/>
      <c r="F14" s="138">
        <f t="shared" ref="F14:L14" si="6">SUM(F2:F13)</f>
        <v>41150.42</v>
      </c>
      <c r="G14" s="138">
        <f t="shared" si="6"/>
        <v>43944.42</v>
      </c>
      <c r="H14" s="138">
        <f t="shared" si="6"/>
        <v>43944.42</v>
      </c>
      <c r="I14" s="138">
        <f t="shared" si="6"/>
        <v>43944.42</v>
      </c>
      <c r="J14" s="138">
        <f t="shared" si="6"/>
        <v>172983.67999999999</v>
      </c>
      <c r="K14" s="138">
        <f t="shared" si="6"/>
        <v>0</v>
      </c>
      <c r="L14" s="138">
        <f t="shared" si="6"/>
        <v>172983.67999999999</v>
      </c>
    </row>
    <row r="22" spans="16:16" ht="15" x14ac:dyDescent="0.25">
      <c r="P22" s="76"/>
    </row>
  </sheetData>
  <mergeCells count="1">
    <mergeCell ref="A14:C14"/>
  </mergeCells>
  <pageMargins left="0.7" right="0.7" top="0.75" bottom="0.75" header="0.3" footer="0.3"/>
  <pageSetup orientation="portrait" r:id="rId1"/>
  <ignoredErrors>
    <ignoredError sqref="F10 F5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AEE6-5C1D-44F4-AB20-9EBA6DEAFA38}">
  <dimension ref="A1:L16"/>
  <sheetViews>
    <sheetView zoomScale="70" zoomScaleNormal="70" workbookViewId="0">
      <selection activeCell="K21" sqref="K21"/>
    </sheetView>
  </sheetViews>
  <sheetFormatPr defaultRowHeight="14.25" x14ac:dyDescent="0.2"/>
  <cols>
    <col min="1" max="1" width="5.5" bestFit="1" customWidth="1"/>
    <col min="2" max="2" width="10.625" bestFit="1" customWidth="1"/>
    <col min="3" max="3" width="7.75" bestFit="1" customWidth="1"/>
    <col min="4" max="4" width="9.375" bestFit="1" customWidth="1"/>
    <col min="5" max="5" width="13.375" bestFit="1" customWidth="1"/>
    <col min="6" max="6" width="11.875" bestFit="1" customWidth="1"/>
    <col min="7" max="7" width="13.375" bestFit="1" customWidth="1"/>
    <col min="8" max="8" width="9.875" bestFit="1" customWidth="1"/>
    <col min="9" max="9" width="64.25" customWidth="1"/>
    <col min="10" max="10" width="14.5" bestFit="1" customWidth="1"/>
    <col min="11" max="11" width="9.125" bestFit="1" customWidth="1"/>
    <col min="12" max="12" width="20.25" customWidth="1"/>
  </cols>
  <sheetData>
    <row r="1" spans="1:12" ht="16.5" thickBot="1" x14ac:dyDescent="0.25">
      <c r="A1" s="1" t="s">
        <v>0</v>
      </c>
      <c r="B1" s="3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124</v>
      </c>
      <c r="I1" s="1" t="s">
        <v>10</v>
      </c>
      <c r="J1" s="1" t="s">
        <v>11</v>
      </c>
      <c r="K1" s="99" t="s">
        <v>140</v>
      </c>
      <c r="L1" s="1" t="s">
        <v>12</v>
      </c>
    </row>
    <row r="2" spans="1:12" ht="136.5" customHeight="1" thickBot="1" x14ac:dyDescent="0.25">
      <c r="A2" s="77">
        <v>1</v>
      </c>
      <c r="B2" s="78" t="s">
        <v>15</v>
      </c>
      <c r="C2" s="102">
        <v>5200</v>
      </c>
      <c r="D2" s="102">
        <v>0</v>
      </c>
      <c r="E2" s="107">
        <v>1280</v>
      </c>
      <c r="F2" s="102">
        <v>260</v>
      </c>
      <c r="G2" s="102">
        <v>0</v>
      </c>
      <c r="H2" s="107">
        <v>850</v>
      </c>
      <c r="I2" s="106" t="s">
        <v>122</v>
      </c>
      <c r="J2" s="105">
        <v>12240</v>
      </c>
      <c r="K2" s="167">
        <v>32131</v>
      </c>
      <c r="L2" s="103">
        <f>SUM(C2:D2:E2:F2:G2:H2:J2)</f>
        <v>19830</v>
      </c>
    </row>
    <row r="3" spans="1:12" ht="15.75" thickBot="1" x14ac:dyDescent="0.25">
      <c r="A3" s="77">
        <v>2</v>
      </c>
      <c r="B3" s="78" t="s">
        <v>19</v>
      </c>
      <c r="C3" s="102">
        <v>5200</v>
      </c>
      <c r="D3" s="107">
        <v>1500</v>
      </c>
      <c r="E3" s="107">
        <v>1280</v>
      </c>
      <c r="F3" s="102">
        <v>893</v>
      </c>
      <c r="G3" s="102">
        <v>489</v>
      </c>
      <c r="H3" s="107">
        <v>850</v>
      </c>
      <c r="I3" s="123" t="s">
        <v>137</v>
      </c>
      <c r="J3" s="105">
        <v>300</v>
      </c>
      <c r="K3" s="168"/>
      <c r="L3" s="103">
        <f>SUM(C3:D3:E3:F3:G3:H3:J3)</f>
        <v>10512</v>
      </c>
    </row>
    <row r="4" spans="1:12" ht="15.75" thickBot="1" x14ac:dyDescent="0.25">
      <c r="A4" s="77">
        <v>3</v>
      </c>
      <c r="B4" s="78" t="s">
        <v>21</v>
      </c>
      <c r="C4" s="102">
        <v>5200</v>
      </c>
      <c r="D4" s="107">
        <v>1500</v>
      </c>
      <c r="E4" s="107">
        <v>1280</v>
      </c>
      <c r="F4" s="102">
        <v>224</v>
      </c>
      <c r="G4" s="102">
        <v>0</v>
      </c>
      <c r="H4" s="107">
        <v>850</v>
      </c>
      <c r="I4" s="106" t="s">
        <v>139</v>
      </c>
      <c r="J4" s="105">
        <v>430</v>
      </c>
      <c r="K4" s="169"/>
      <c r="L4" s="103">
        <f>SUM(C4:D4:E4:F4:G4:H4:J4)</f>
        <v>9484</v>
      </c>
    </row>
    <row r="5" spans="1:12" ht="15.75" thickBot="1" x14ac:dyDescent="0.25">
      <c r="A5" s="77">
        <v>4</v>
      </c>
      <c r="B5" s="78" t="s">
        <v>24</v>
      </c>
      <c r="C5" s="79">
        <v>5200</v>
      </c>
      <c r="D5" s="79">
        <v>1500</v>
      </c>
      <c r="E5" s="79">
        <v>1280</v>
      </c>
      <c r="F5" s="79">
        <v>0</v>
      </c>
      <c r="G5" s="79">
        <v>0</v>
      </c>
      <c r="H5" s="79">
        <v>850</v>
      </c>
      <c r="I5" s="5" t="s">
        <v>141</v>
      </c>
      <c r="J5" s="104">
        <v>711</v>
      </c>
      <c r="K5" s="167">
        <v>41862</v>
      </c>
      <c r="L5" s="103">
        <f>SUM(C5:D5:E5:F5:G5:H5:J5)</f>
        <v>9541</v>
      </c>
    </row>
    <row r="6" spans="1:12" ht="35.25" customHeight="1" thickBot="1" x14ac:dyDescent="0.25">
      <c r="A6" s="77">
        <v>5</v>
      </c>
      <c r="B6" s="78" t="s">
        <v>27</v>
      </c>
      <c r="C6" s="79">
        <v>5200</v>
      </c>
      <c r="D6" s="79">
        <v>1500</v>
      </c>
      <c r="E6" s="79">
        <v>1280</v>
      </c>
      <c r="F6" s="79">
        <v>0</v>
      </c>
      <c r="G6" s="79">
        <v>489</v>
      </c>
      <c r="H6" s="79">
        <v>850</v>
      </c>
      <c r="I6" s="5" t="s">
        <v>142</v>
      </c>
      <c r="J6" s="104">
        <v>10399</v>
      </c>
      <c r="K6" s="168"/>
      <c r="L6" s="103">
        <f>SUM(C6:D6:E6:F6:G6:H6:J6)</f>
        <v>19718</v>
      </c>
    </row>
    <row r="7" spans="1:12" ht="29.25" thickBot="1" x14ac:dyDescent="0.25">
      <c r="A7" s="77">
        <v>6</v>
      </c>
      <c r="B7" s="78" t="s">
        <v>30</v>
      </c>
      <c r="C7" s="79">
        <v>5200</v>
      </c>
      <c r="D7" s="79">
        <v>1500</v>
      </c>
      <c r="E7" s="79">
        <v>1280</v>
      </c>
      <c r="F7" s="79">
        <v>0</v>
      </c>
      <c r="G7" s="79">
        <v>0</v>
      </c>
      <c r="H7" s="79">
        <v>850</v>
      </c>
      <c r="I7" s="5" t="s">
        <v>143</v>
      </c>
      <c r="J7" s="104">
        <v>1322</v>
      </c>
      <c r="K7" s="169"/>
      <c r="L7" s="103">
        <f>SUM(C7:D7:E7:F7:G7:H7:J7)</f>
        <v>10152</v>
      </c>
    </row>
    <row r="8" spans="1:12" ht="15.75" thickBot="1" x14ac:dyDescent="0.25">
      <c r="A8" s="77">
        <v>7</v>
      </c>
      <c r="B8" s="78" t="s">
        <v>34</v>
      </c>
      <c r="C8" s="79">
        <v>5200</v>
      </c>
      <c r="D8" s="79">
        <v>1500</v>
      </c>
      <c r="E8" s="79">
        <v>1280</v>
      </c>
      <c r="F8" s="79">
        <v>0</v>
      </c>
      <c r="G8" s="79">
        <v>0</v>
      </c>
      <c r="H8" s="79">
        <v>900</v>
      </c>
      <c r="I8" s="5" t="s">
        <v>146</v>
      </c>
      <c r="J8" s="104">
        <v>450</v>
      </c>
      <c r="K8" s="167">
        <v>46462</v>
      </c>
      <c r="L8" s="103">
        <f>SUM(C8:D8:E8:F8:G8:H8:J8)</f>
        <v>9330</v>
      </c>
    </row>
    <row r="9" spans="1:12" ht="15.75" thickBot="1" x14ac:dyDescent="0.25">
      <c r="A9" s="77">
        <v>8</v>
      </c>
      <c r="B9" s="78" t="s">
        <v>37</v>
      </c>
      <c r="C9" s="79">
        <v>5200</v>
      </c>
      <c r="D9" s="79">
        <v>1500</v>
      </c>
      <c r="E9" s="79">
        <v>1280</v>
      </c>
      <c r="F9" s="79">
        <v>557</v>
      </c>
      <c r="G9" s="79">
        <v>0</v>
      </c>
      <c r="H9" s="79">
        <v>900</v>
      </c>
      <c r="I9" s="5" t="s">
        <v>35</v>
      </c>
      <c r="J9" s="104">
        <v>0</v>
      </c>
      <c r="K9" s="168"/>
      <c r="L9" s="103">
        <f>SUM(C9:D9:E9:F9:G9:H9:J9)</f>
        <v>9437</v>
      </c>
    </row>
    <row r="10" spans="1:12" ht="86.25" thickBot="1" x14ac:dyDescent="0.25">
      <c r="A10" s="77">
        <v>9</v>
      </c>
      <c r="B10" s="78" t="s">
        <v>41</v>
      </c>
      <c r="C10" s="79">
        <v>5200</v>
      </c>
      <c r="D10" s="79">
        <v>1500</v>
      </c>
      <c r="E10" s="79">
        <v>1280</v>
      </c>
      <c r="F10" s="79">
        <v>0</v>
      </c>
      <c r="G10" s="79">
        <v>0</v>
      </c>
      <c r="H10" s="79">
        <v>900</v>
      </c>
      <c r="I10" s="5" t="s">
        <v>147</v>
      </c>
      <c r="J10" s="118">
        <v>11087</v>
      </c>
      <c r="K10" s="168"/>
      <c r="L10" s="103">
        <f>SUM(C10:D10:E10:F10:G10:H10:J10)</f>
        <v>19967</v>
      </c>
    </row>
    <row r="11" spans="1:12" ht="15.75" thickBot="1" x14ac:dyDescent="0.25">
      <c r="A11" s="77">
        <v>10</v>
      </c>
      <c r="B11" s="78" t="s">
        <v>44</v>
      </c>
      <c r="C11" s="79">
        <v>5200</v>
      </c>
      <c r="D11" s="79">
        <v>1500</v>
      </c>
      <c r="E11" s="79">
        <v>1280</v>
      </c>
      <c r="F11" s="79">
        <v>355</v>
      </c>
      <c r="G11" s="79">
        <v>0</v>
      </c>
      <c r="H11" s="79">
        <v>900</v>
      </c>
      <c r="I11" s="122" t="s">
        <v>35</v>
      </c>
      <c r="J11" s="120">
        <v>0</v>
      </c>
      <c r="K11" s="170">
        <v>41862</v>
      </c>
      <c r="L11" s="103">
        <f>SUM(C11:D11:E11:F11:G11:H11:J11)</f>
        <v>9235</v>
      </c>
    </row>
    <row r="12" spans="1:12" ht="15.75" thickBot="1" x14ac:dyDescent="0.25">
      <c r="A12" s="77">
        <v>11</v>
      </c>
      <c r="B12" s="78" t="s">
        <v>48</v>
      </c>
      <c r="C12" s="79">
        <v>5200</v>
      </c>
      <c r="D12" s="79">
        <v>1500</v>
      </c>
      <c r="E12" s="79">
        <v>1280</v>
      </c>
      <c r="F12" s="79">
        <v>362</v>
      </c>
      <c r="G12" s="79">
        <v>300</v>
      </c>
      <c r="H12" s="79">
        <v>900</v>
      </c>
      <c r="I12" s="122" t="s">
        <v>148</v>
      </c>
      <c r="J12" s="120">
        <v>1600</v>
      </c>
      <c r="K12" s="171"/>
      <c r="L12" s="103">
        <f>SUM(C12:D12:E12:F12:G12:H12:J12)</f>
        <v>11142</v>
      </c>
    </row>
    <row r="13" spans="1:12" ht="43.5" thickBot="1" x14ac:dyDescent="0.25">
      <c r="A13" s="77">
        <v>12</v>
      </c>
      <c r="B13" s="78" t="s">
        <v>50</v>
      </c>
      <c r="C13" s="80">
        <v>5200</v>
      </c>
      <c r="D13" s="80">
        <v>3000</v>
      </c>
      <c r="E13" s="80">
        <v>1280</v>
      </c>
      <c r="F13" s="79">
        <v>254</v>
      </c>
      <c r="G13" s="79">
        <v>300</v>
      </c>
      <c r="H13" s="79">
        <v>900</v>
      </c>
      <c r="I13" s="122" t="s">
        <v>155</v>
      </c>
      <c r="J13" s="121">
        <v>24640</v>
      </c>
      <c r="K13" s="172"/>
      <c r="L13" s="103">
        <f>SUM(C13:D13:E13:F13:G13:H13:J13)</f>
        <v>35574</v>
      </c>
    </row>
    <row r="14" spans="1:12" ht="16.5" thickBot="1" x14ac:dyDescent="0.25">
      <c r="A14" s="160" t="s">
        <v>55</v>
      </c>
      <c r="B14" s="161"/>
      <c r="C14" s="100">
        <f t="shared" ref="C14:H14" si="0">SUM(C2:C13)</f>
        <v>62400</v>
      </c>
      <c r="D14" s="100">
        <f t="shared" si="0"/>
        <v>18000</v>
      </c>
      <c r="E14" s="100">
        <f t="shared" si="0"/>
        <v>15360</v>
      </c>
      <c r="F14" s="100">
        <f t="shared" si="0"/>
        <v>2905</v>
      </c>
      <c r="G14" s="100">
        <f t="shared" si="0"/>
        <v>1578</v>
      </c>
      <c r="H14" s="100">
        <f t="shared" si="0"/>
        <v>10500</v>
      </c>
      <c r="I14" s="101" t="s">
        <v>35</v>
      </c>
      <c r="J14" s="119">
        <f>SUM(J2:J13)</f>
        <v>63179</v>
      </c>
      <c r="K14" s="119">
        <f>SUM(K2:K13)</f>
        <v>162317</v>
      </c>
      <c r="L14" s="100">
        <f>SUM(L2:L13)</f>
        <v>173922</v>
      </c>
    </row>
    <row r="15" spans="1:12" ht="18.75" thickBot="1" x14ac:dyDescent="0.3">
      <c r="A15" s="162" t="s">
        <v>56</v>
      </c>
      <c r="B15" s="163"/>
      <c r="C15" s="163"/>
      <c r="D15" s="163"/>
      <c r="E15" s="163"/>
      <c r="F15" s="163"/>
      <c r="G15" s="163"/>
      <c r="H15" s="163"/>
      <c r="I15" s="163"/>
      <c r="J15" s="164"/>
      <c r="K15" s="165">
        <f>K14-L14</f>
        <v>-11605</v>
      </c>
      <c r="L15" s="166"/>
    </row>
    <row r="16" spans="1:12" ht="14.1" customHeight="1" x14ac:dyDescent="0.2"/>
  </sheetData>
  <mergeCells count="7">
    <mergeCell ref="A14:B14"/>
    <mergeCell ref="K15:L15"/>
    <mergeCell ref="A15:J15"/>
    <mergeCell ref="K2:K4"/>
    <mergeCell ref="K5:K7"/>
    <mergeCell ref="K8:K10"/>
    <mergeCell ref="K11:K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F28D-A297-4DC9-95A4-9C01B0CDC99D}">
  <dimension ref="A1:W1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V6" sqref="V6"/>
    </sheetView>
  </sheetViews>
  <sheetFormatPr defaultRowHeight="14.25" x14ac:dyDescent="0.2"/>
  <cols>
    <col min="1" max="1" width="4.875" bestFit="1" customWidth="1"/>
    <col min="2" max="2" width="20.375" bestFit="1" customWidth="1"/>
    <col min="3" max="3" width="10" bestFit="1" customWidth="1"/>
    <col min="4" max="4" width="10.625" bestFit="1" customWidth="1"/>
    <col min="5" max="5" width="14.375" hidden="1" customWidth="1"/>
    <col min="6" max="6" width="18.75" hidden="1" customWidth="1"/>
    <col min="7" max="7" width="7.625" hidden="1" customWidth="1"/>
    <col min="8" max="8" width="15.125" bestFit="1" customWidth="1"/>
    <col min="9" max="9" width="16.5" bestFit="1" customWidth="1"/>
    <col min="10" max="10" width="21.375" hidden="1" customWidth="1"/>
    <col min="11" max="11" width="20.625" hidden="1" customWidth="1"/>
    <col min="12" max="12" width="16.75" bestFit="1" customWidth="1"/>
    <col min="13" max="13" width="21.375" hidden="1" customWidth="1"/>
    <col min="14" max="14" width="20.625" hidden="1" customWidth="1"/>
    <col min="15" max="15" width="16.375" bestFit="1" customWidth="1"/>
    <col min="16" max="16" width="21.375" hidden="1" customWidth="1"/>
    <col min="17" max="17" width="20.625" hidden="1" customWidth="1"/>
    <col min="18" max="18" width="16.375" bestFit="1" customWidth="1"/>
    <col min="19" max="19" width="21.375" hidden="1" customWidth="1"/>
    <col min="20" max="20" width="20.625" hidden="1" customWidth="1"/>
    <col min="21" max="21" width="10.625" bestFit="1" customWidth="1"/>
    <col min="22" max="22" width="11.625" bestFit="1" customWidth="1"/>
    <col min="23" max="23" width="10.25" bestFit="1" customWidth="1"/>
  </cols>
  <sheetData>
    <row r="1" spans="1:23" ht="45" x14ac:dyDescent="0.2">
      <c r="A1" s="59" t="s">
        <v>0</v>
      </c>
      <c r="B1" s="59" t="s">
        <v>58</v>
      </c>
      <c r="C1" s="59" t="s">
        <v>2</v>
      </c>
      <c r="D1" s="59" t="s">
        <v>4</v>
      </c>
      <c r="E1" s="59" t="s">
        <v>97</v>
      </c>
      <c r="F1" s="59" t="s">
        <v>96</v>
      </c>
      <c r="G1" s="59" t="s">
        <v>98</v>
      </c>
      <c r="H1" s="59" t="s">
        <v>123</v>
      </c>
      <c r="I1" s="66" t="s">
        <v>103</v>
      </c>
      <c r="J1" s="65" t="s">
        <v>104</v>
      </c>
      <c r="K1" s="65" t="s">
        <v>102</v>
      </c>
      <c r="L1" s="65" t="s">
        <v>105</v>
      </c>
      <c r="M1" s="65" t="s">
        <v>106</v>
      </c>
      <c r="N1" s="65" t="s">
        <v>107</v>
      </c>
      <c r="O1" s="65" t="s">
        <v>108</v>
      </c>
      <c r="P1" s="65" t="s">
        <v>109</v>
      </c>
      <c r="Q1" s="65" t="s">
        <v>110</v>
      </c>
      <c r="R1" s="65" t="s">
        <v>111</v>
      </c>
      <c r="S1" s="65" t="s">
        <v>112</v>
      </c>
      <c r="T1" s="65" t="s">
        <v>113</v>
      </c>
      <c r="U1" s="63" t="s">
        <v>55</v>
      </c>
      <c r="V1" s="59" t="s">
        <v>61</v>
      </c>
      <c r="W1" s="59" t="s">
        <v>62</v>
      </c>
    </row>
    <row r="2" spans="1:23" s="62" customFormat="1" ht="15" x14ac:dyDescent="0.2">
      <c r="A2" s="57">
        <v>1</v>
      </c>
      <c r="B2" s="58" t="s">
        <v>52</v>
      </c>
      <c r="C2" s="67" t="s">
        <v>14</v>
      </c>
      <c r="D2" s="70">
        <v>100000</v>
      </c>
      <c r="E2" s="58" t="s">
        <v>101</v>
      </c>
      <c r="F2" s="58" t="s">
        <v>99</v>
      </c>
      <c r="G2" s="174">
        <v>0.02</v>
      </c>
      <c r="H2" s="81">
        <v>45809</v>
      </c>
      <c r="I2" s="64">
        <f>D2*0.02*3</f>
        <v>6000</v>
      </c>
      <c r="J2" s="57"/>
      <c r="K2" s="57"/>
      <c r="L2" s="69">
        <f t="shared" ref="L2:L7" si="0">D2*0.02*3</f>
        <v>6000</v>
      </c>
      <c r="M2" s="68"/>
      <c r="N2" s="68"/>
      <c r="O2" s="69">
        <f t="shared" ref="O2:O7" si="1">D2*0.02*3</f>
        <v>6000</v>
      </c>
      <c r="P2" s="57"/>
      <c r="Q2" s="57"/>
      <c r="R2" s="64">
        <f t="shared" ref="R2:R7" si="2">D2*0.02*3</f>
        <v>6000</v>
      </c>
      <c r="S2" s="57"/>
      <c r="T2" s="57"/>
      <c r="U2" s="70">
        <f t="shared" ref="U2:U7" si="3">I2+L2+O2+R2</f>
        <v>24000</v>
      </c>
      <c r="V2" s="64">
        <v>24000</v>
      </c>
      <c r="W2" s="64">
        <f>U2-V2</f>
        <v>0</v>
      </c>
    </row>
    <row r="3" spans="1:23" ht="15" x14ac:dyDescent="0.2">
      <c r="A3" s="57">
        <v>2</v>
      </c>
      <c r="B3" s="58" t="s">
        <v>13</v>
      </c>
      <c r="C3" s="67" t="s">
        <v>23</v>
      </c>
      <c r="D3" s="70">
        <v>100000</v>
      </c>
      <c r="E3" s="58" t="s">
        <v>114</v>
      </c>
      <c r="F3" s="58" t="s">
        <v>115</v>
      </c>
      <c r="G3" s="175"/>
      <c r="H3" s="81">
        <v>45809</v>
      </c>
      <c r="I3" s="64">
        <f>D3*0.02*3</f>
        <v>6000</v>
      </c>
      <c r="J3" s="64"/>
      <c r="K3" s="64"/>
      <c r="L3" s="64">
        <f t="shared" si="0"/>
        <v>6000</v>
      </c>
      <c r="M3" s="64"/>
      <c r="N3" s="64"/>
      <c r="O3" s="64">
        <f t="shared" si="1"/>
        <v>6000</v>
      </c>
      <c r="P3" s="64"/>
      <c r="Q3" s="64"/>
      <c r="R3" s="64">
        <f t="shared" si="2"/>
        <v>6000</v>
      </c>
      <c r="S3" s="61"/>
      <c r="T3" s="61"/>
      <c r="U3" s="70">
        <f t="shared" si="3"/>
        <v>24000</v>
      </c>
      <c r="V3" s="64">
        <v>24000</v>
      </c>
      <c r="W3" s="64">
        <v>0</v>
      </c>
    </row>
    <row r="4" spans="1:23" ht="15" x14ac:dyDescent="0.2">
      <c r="A4" s="57">
        <v>3</v>
      </c>
      <c r="B4" s="56" t="s">
        <v>17</v>
      </c>
      <c r="C4" s="56" t="s">
        <v>18</v>
      </c>
      <c r="D4" s="70">
        <v>50000</v>
      </c>
      <c r="E4" s="56" t="s">
        <v>116</v>
      </c>
      <c r="F4" s="56" t="s">
        <v>100</v>
      </c>
      <c r="G4" s="175"/>
      <c r="H4" s="81">
        <v>45809</v>
      </c>
      <c r="I4" s="64">
        <f>D4*0.02*3</f>
        <v>3000</v>
      </c>
      <c r="J4" s="56"/>
      <c r="K4" s="56"/>
      <c r="L4" s="64">
        <f t="shared" si="0"/>
        <v>3000</v>
      </c>
      <c r="M4" s="56"/>
      <c r="N4" s="56"/>
      <c r="O4" s="64">
        <f t="shared" si="1"/>
        <v>3000</v>
      </c>
      <c r="P4" s="56"/>
      <c r="Q4" s="56"/>
      <c r="R4" s="64">
        <f t="shared" si="2"/>
        <v>3000</v>
      </c>
      <c r="S4" s="56"/>
      <c r="T4" s="56"/>
      <c r="U4" s="70">
        <f t="shared" si="3"/>
        <v>12000</v>
      </c>
      <c r="V4" s="64">
        <v>12000</v>
      </c>
      <c r="W4" s="64">
        <v>0</v>
      </c>
    </row>
    <row r="5" spans="1:23" ht="15" x14ac:dyDescent="0.2">
      <c r="A5" s="57">
        <v>4</v>
      </c>
      <c r="B5" s="56" t="s">
        <v>136</v>
      </c>
      <c r="C5" s="56" t="s">
        <v>14</v>
      </c>
      <c r="D5" s="70">
        <v>50000</v>
      </c>
      <c r="E5" s="56" t="s">
        <v>117</v>
      </c>
      <c r="F5" s="56" t="s">
        <v>118</v>
      </c>
      <c r="G5" s="175"/>
      <c r="H5" s="81">
        <v>45809</v>
      </c>
      <c r="I5" s="64">
        <f>D5*0.02*3</f>
        <v>3000</v>
      </c>
      <c r="J5" s="56"/>
      <c r="K5" s="56"/>
      <c r="L5" s="64">
        <f t="shared" si="0"/>
        <v>3000</v>
      </c>
      <c r="M5" s="56"/>
      <c r="N5" s="56"/>
      <c r="O5" s="64">
        <f t="shared" si="1"/>
        <v>3000</v>
      </c>
      <c r="P5" s="56"/>
      <c r="Q5" s="56"/>
      <c r="R5" s="64">
        <f t="shared" si="2"/>
        <v>3000</v>
      </c>
      <c r="S5" s="56"/>
      <c r="T5" s="56"/>
      <c r="U5" s="70">
        <f t="shared" si="3"/>
        <v>12000</v>
      </c>
      <c r="V5" s="64">
        <v>12000</v>
      </c>
      <c r="W5" s="64">
        <v>0</v>
      </c>
    </row>
    <row r="6" spans="1:23" ht="15" x14ac:dyDescent="0.2">
      <c r="A6" s="71">
        <v>5</v>
      </c>
      <c r="B6" s="72" t="s">
        <v>119</v>
      </c>
      <c r="C6" s="72" t="s">
        <v>14</v>
      </c>
      <c r="D6" s="75">
        <v>25000</v>
      </c>
      <c r="E6" s="72" t="s">
        <v>120</v>
      </c>
      <c r="F6" s="72" t="s">
        <v>121</v>
      </c>
      <c r="G6" s="175"/>
      <c r="H6" s="83">
        <v>45809</v>
      </c>
      <c r="I6" s="73">
        <f>D6*0.02*3</f>
        <v>1500</v>
      </c>
      <c r="J6" s="74"/>
      <c r="K6" s="74"/>
      <c r="L6" s="73">
        <f t="shared" si="0"/>
        <v>1500</v>
      </c>
      <c r="M6" s="74"/>
      <c r="N6" s="74"/>
      <c r="O6" s="73">
        <f t="shared" si="1"/>
        <v>1500</v>
      </c>
      <c r="P6" s="74"/>
      <c r="Q6" s="74"/>
      <c r="R6" s="73">
        <f t="shared" si="2"/>
        <v>1500</v>
      </c>
      <c r="S6" s="74"/>
      <c r="T6" s="74"/>
      <c r="U6" s="75">
        <f t="shared" si="3"/>
        <v>6000</v>
      </c>
      <c r="V6" s="64">
        <v>6000</v>
      </c>
      <c r="W6" s="64">
        <v>0</v>
      </c>
    </row>
    <row r="7" spans="1:23" ht="15" x14ac:dyDescent="0.2">
      <c r="A7" s="71">
        <v>6</v>
      </c>
      <c r="B7" s="72" t="s">
        <v>128</v>
      </c>
      <c r="C7" s="72" t="s">
        <v>14</v>
      </c>
      <c r="D7" s="75">
        <v>100000</v>
      </c>
      <c r="E7" s="72" t="s">
        <v>125</v>
      </c>
      <c r="F7" s="72" t="s">
        <v>127</v>
      </c>
      <c r="G7" s="175"/>
      <c r="H7" s="86">
        <v>45839</v>
      </c>
      <c r="I7" s="73">
        <f>D7*0.02*2</f>
        <v>4000</v>
      </c>
      <c r="J7" s="74"/>
      <c r="K7" s="74"/>
      <c r="L7" s="73">
        <f t="shared" si="0"/>
        <v>6000</v>
      </c>
      <c r="M7" s="74"/>
      <c r="N7" s="74"/>
      <c r="O7" s="73">
        <f t="shared" si="1"/>
        <v>6000</v>
      </c>
      <c r="P7" s="74"/>
      <c r="Q7" s="74"/>
      <c r="R7" s="73">
        <f t="shared" si="2"/>
        <v>6000</v>
      </c>
      <c r="S7" s="74"/>
      <c r="T7" s="74"/>
      <c r="U7" s="75">
        <f t="shared" si="3"/>
        <v>22000</v>
      </c>
      <c r="V7" s="64">
        <v>22000</v>
      </c>
      <c r="W7" s="64">
        <v>0</v>
      </c>
    </row>
    <row r="8" spans="1:23" ht="15" x14ac:dyDescent="0.2">
      <c r="A8" s="71">
        <v>7</v>
      </c>
      <c r="B8" s="72" t="s">
        <v>133</v>
      </c>
      <c r="C8" s="72" t="s">
        <v>18</v>
      </c>
      <c r="D8" s="75">
        <v>50000</v>
      </c>
      <c r="E8" s="72" t="s">
        <v>117</v>
      </c>
      <c r="F8" s="72" t="s">
        <v>134</v>
      </c>
      <c r="G8" s="175"/>
      <c r="H8" s="86">
        <v>45839</v>
      </c>
      <c r="I8" s="73">
        <f>D8*0.02*2</f>
        <v>2000</v>
      </c>
      <c r="J8" s="74"/>
      <c r="K8" s="74"/>
      <c r="L8" s="73">
        <f>D8*0.02*3</f>
        <v>3000</v>
      </c>
      <c r="M8" s="74"/>
      <c r="N8" s="74"/>
      <c r="O8" s="73">
        <f>D8*0.02*3</f>
        <v>3000</v>
      </c>
      <c r="P8" s="74"/>
      <c r="Q8" s="74"/>
      <c r="R8" s="73">
        <f>D8*0.02*3</f>
        <v>3000</v>
      </c>
      <c r="S8" s="74"/>
      <c r="T8" s="74"/>
      <c r="U8" s="75">
        <f>I8+L8+O8+R8</f>
        <v>11000</v>
      </c>
      <c r="V8" s="64">
        <v>11000</v>
      </c>
      <c r="W8" s="64">
        <v>0</v>
      </c>
    </row>
    <row r="9" spans="1:23" ht="15" x14ac:dyDescent="0.2">
      <c r="A9" s="71">
        <v>8</v>
      </c>
      <c r="B9" s="72" t="s">
        <v>135</v>
      </c>
      <c r="C9" s="72" t="s">
        <v>14</v>
      </c>
      <c r="D9" s="75">
        <v>85000</v>
      </c>
      <c r="E9" s="72" t="s">
        <v>35</v>
      </c>
      <c r="F9" s="72" t="s">
        <v>35</v>
      </c>
      <c r="G9" s="175"/>
      <c r="H9" s="86">
        <v>45839</v>
      </c>
      <c r="I9" s="73">
        <f>D9*0.02*2</f>
        <v>3400</v>
      </c>
      <c r="J9" s="74"/>
      <c r="K9" s="74"/>
      <c r="L9" s="73">
        <f>D9*0.02*3</f>
        <v>5100</v>
      </c>
      <c r="M9" s="74"/>
      <c r="N9" s="74"/>
      <c r="O9" s="73">
        <f>D9*0.02*3</f>
        <v>5100</v>
      </c>
      <c r="P9" s="74"/>
      <c r="Q9" s="74"/>
      <c r="R9" s="73">
        <f>D9*0.02*3</f>
        <v>5100</v>
      </c>
      <c r="S9" s="74"/>
      <c r="T9" s="74"/>
      <c r="U9" s="75">
        <f>I9+L9+O9+R9</f>
        <v>18700</v>
      </c>
      <c r="V9" s="64">
        <v>18700</v>
      </c>
      <c r="W9" s="64">
        <v>0</v>
      </c>
    </row>
    <row r="10" spans="1:23" ht="15" x14ac:dyDescent="0.2">
      <c r="A10" s="71">
        <v>9</v>
      </c>
      <c r="B10" s="72" t="s">
        <v>13</v>
      </c>
      <c r="C10" s="72" t="s">
        <v>14</v>
      </c>
      <c r="D10" s="75">
        <v>62707</v>
      </c>
      <c r="E10" s="72" t="s">
        <v>35</v>
      </c>
      <c r="F10" s="72" t="s">
        <v>35</v>
      </c>
      <c r="G10" s="175"/>
      <c r="H10" s="86">
        <v>45839</v>
      </c>
      <c r="I10" s="73">
        <v>2719</v>
      </c>
      <c r="J10" s="74"/>
      <c r="K10" s="74"/>
      <c r="L10" s="73">
        <f>D10*0.02*3</f>
        <v>3762.42</v>
      </c>
      <c r="M10" s="74"/>
      <c r="N10" s="74"/>
      <c r="O10" s="73">
        <f>D10*0.02*3</f>
        <v>3762.42</v>
      </c>
      <c r="P10" s="74"/>
      <c r="Q10" s="74"/>
      <c r="R10" s="73">
        <f>D10*0.02*3</f>
        <v>3762.42</v>
      </c>
      <c r="S10" s="74"/>
      <c r="T10" s="74"/>
      <c r="U10" s="75">
        <v>14005</v>
      </c>
      <c r="V10" s="64">
        <v>14005</v>
      </c>
      <c r="W10" s="64">
        <v>0</v>
      </c>
    </row>
    <row r="11" spans="1:23" ht="15" x14ac:dyDescent="0.2">
      <c r="A11" s="71">
        <v>10</v>
      </c>
      <c r="B11" s="72" t="s">
        <v>138</v>
      </c>
      <c r="C11" s="72" t="s">
        <v>14</v>
      </c>
      <c r="D11" s="75">
        <v>25000</v>
      </c>
      <c r="E11" s="72" t="s">
        <v>35</v>
      </c>
      <c r="F11" s="72" t="s">
        <v>35</v>
      </c>
      <c r="G11" s="175"/>
      <c r="H11" s="86">
        <v>45870</v>
      </c>
      <c r="I11" s="73">
        <f>25620*0.02*1</f>
        <v>512.4</v>
      </c>
      <c r="J11" s="74"/>
      <c r="K11" s="74"/>
      <c r="L11" s="73">
        <f>D11*0.02*3</f>
        <v>1500</v>
      </c>
      <c r="M11" s="74"/>
      <c r="N11" s="74"/>
      <c r="O11" s="73">
        <f>D11*0.02*3</f>
        <v>1500</v>
      </c>
      <c r="P11" s="74"/>
      <c r="Q11" s="74"/>
      <c r="R11" s="73">
        <f>D11*0.02*3</f>
        <v>1500</v>
      </c>
      <c r="S11" s="74"/>
      <c r="T11" s="74"/>
      <c r="U11" s="75">
        <f>I11+L11+O11+R11</f>
        <v>5012.3999999999996</v>
      </c>
      <c r="V11" s="64">
        <v>5012</v>
      </c>
      <c r="W11" s="64">
        <v>0</v>
      </c>
    </row>
    <row r="12" spans="1:23" ht="15" x14ac:dyDescent="0.2">
      <c r="A12" s="71">
        <v>11</v>
      </c>
      <c r="B12" s="72" t="s">
        <v>149</v>
      </c>
      <c r="C12" s="72" t="s">
        <v>14</v>
      </c>
      <c r="D12" s="75">
        <v>50000</v>
      </c>
      <c r="E12" s="72" t="s">
        <v>144</v>
      </c>
      <c r="F12" s="72" t="s">
        <v>144</v>
      </c>
      <c r="G12" s="176"/>
      <c r="H12" s="86">
        <v>45901</v>
      </c>
      <c r="I12" s="73">
        <v>0</v>
      </c>
      <c r="J12" s="74"/>
      <c r="K12" s="74"/>
      <c r="L12" s="73">
        <f>D12*0.02*3</f>
        <v>3000</v>
      </c>
      <c r="M12" s="74"/>
      <c r="N12" s="74"/>
      <c r="O12" s="73">
        <f>D12*0.02*3</f>
        <v>3000</v>
      </c>
      <c r="P12" s="74"/>
      <c r="Q12" s="74"/>
      <c r="R12" s="73">
        <f>D12*0.02*3</f>
        <v>3000</v>
      </c>
      <c r="S12" s="74"/>
      <c r="T12" s="74"/>
      <c r="U12" s="75">
        <f>I12+L12+O12+R12</f>
        <v>9000</v>
      </c>
      <c r="V12" s="64">
        <v>9000</v>
      </c>
      <c r="W12" s="64">
        <v>0</v>
      </c>
    </row>
    <row r="13" spans="1:23" s="76" customFormat="1" ht="18" x14ac:dyDescent="0.25">
      <c r="A13" s="159" t="s">
        <v>55</v>
      </c>
      <c r="B13" s="159"/>
      <c r="C13" s="159"/>
      <c r="D13" s="85">
        <f>SUM(D2:D12)</f>
        <v>697707</v>
      </c>
      <c r="E13" s="82"/>
      <c r="F13" s="82"/>
      <c r="G13" s="84"/>
      <c r="H13" s="84"/>
      <c r="I13" s="85">
        <f>SUM(I2:I12)</f>
        <v>32131.4</v>
      </c>
      <c r="J13" s="82"/>
      <c r="K13" s="82"/>
      <c r="L13" s="173">
        <f>SUM(L2:L12)</f>
        <v>41862.42</v>
      </c>
      <c r="M13" s="173"/>
      <c r="N13" s="173"/>
      <c r="O13" s="173">
        <f>SUM(O2:O12)</f>
        <v>41862.42</v>
      </c>
      <c r="P13" s="173"/>
      <c r="Q13" s="173"/>
      <c r="R13" s="173">
        <f>SUM(R2:R12)</f>
        <v>41862.42</v>
      </c>
      <c r="S13" s="173"/>
      <c r="T13" s="173"/>
      <c r="U13" s="85">
        <f>SUM(U2:U12)</f>
        <v>157717.4</v>
      </c>
      <c r="V13" s="85">
        <f t="shared" ref="V13:W13" si="4">SUM(V2:V12)</f>
        <v>157717</v>
      </c>
      <c r="W13" s="85">
        <f t="shared" si="4"/>
        <v>0</v>
      </c>
    </row>
  </sheetData>
  <mergeCells count="5">
    <mergeCell ref="R13:T13"/>
    <mergeCell ref="A13:C13"/>
    <mergeCell ref="L13:N13"/>
    <mergeCell ref="O13:Q13"/>
    <mergeCell ref="G2:G1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E3CF-3E5D-4FF1-9F20-012C4BEFC845}">
  <dimension ref="A1:D5"/>
  <sheetViews>
    <sheetView zoomScale="90" zoomScaleNormal="90" workbookViewId="0">
      <selection activeCell="P37" sqref="P37"/>
    </sheetView>
  </sheetViews>
  <sheetFormatPr defaultRowHeight="14.25" x14ac:dyDescent="0.2"/>
  <cols>
    <col min="1" max="1" width="9.25" bestFit="1" customWidth="1"/>
    <col min="2" max="2" width="27.25" bestFit="1" customWidth="1"/>
    <col min="3" max="3" width="11.625" bestFit="1" customWidth="1"/>
    <col min="4" max="4" width="9.125" bestFit="1" customWidth="1"/>
    <col min="6" max="6" width="5" bestFit="1" customWidth="1"/>
  </cols>
  <sheetData>
    <row r="1" spans="1:4" ht="15.75" thickBot="1" x14ac:dyDescent="0.3">
      <c r="A1" s="177"/>
      <c r="B1" s="178"/>
      <c r="C1" s="116" t="s">
        <v>145</v>
      </c>
      <c r="D1" s="117" t="s">
        <v>126</v>
      </c>
    </row>
    <row r="2" spans="1:4" ht="15.75" thickBot="1" x14ac:dyDescent="0.25">
      <c r="A2" s="181" t="s">
        <v>129</v>
      </c>
      <c r="B2" s="182"/>
      <c r="C2" s="112">
        <v>425000</v>
      </c>
      <c r="D2" s="108">
        <v>0</v>
      </c>
    </row>
    <row r="3" spans="1:4" ht="15.75" thickBot="1" x14ac:dyDescent="0.25">
      <c r="A3" s="183" t="s">
        <v>130</v>
      </c>
      <c r="B3" s="184" t="s">
        <v>93</v>
      </c>
      <c r="C3" s="113">
        <f>SGVSVD_Account_2024!K23</f>
        <v>245137.47999999998</v>
      </c>
      <c r="D3" s="109">
        <f>SGVSVD_Account_2024!L23</f>
        <v>12000</v>
      </c>
    </row>
    <row r="4" spans="1:4" ht="15.75" thickBot="1" x14ac:dyDescent="0.3">
      <c r="A4" s="185" t="s">
        <v>131</v>
      </c>
      <c r="B4" s="186"/>
      <c r="C4" s="114">
        <f>Hundi!F3</f>
        <v>27570</v>
      </c>
      <c r="D4" s="110">
        <v>0</v>
      </c>
    </row>
    <row r="5" spans="1:4" ht="15.75" thickBot="1" x14ac:dyDescent="0.3">
      <c r="A5" s="179" t="s">
        <v>132</v>
      </c>
      <c r="B5" s="180"/>
      <c r="C5" s="115">
        <f>SUM(C2:C4)</f>
        <v>697707.48</v>
      </c>
      <c r="D5" s="111">
        <f>D3</f>
        <v>12000</v>
      </c>
    </row>
  </sheetData>
  <mergeCells count="5">
    <mergeCell ref="A1:B1"/>
    <mergeCell ref="A5:B5"/>
    <mergeCell ref="A2:B2"/>
    <mergeCell ref="A3:B3"/>
    <mergeCell ref="A4: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37B6-7C8D-4EA9-8E46-BFFE58272385}">
  <dimension ref="A1:L24"/>
  <sheetViews>
    <sheetView zoomScale="80" zoomScaleNormal="80" workbookViewId="0">
      <selection activeCell="N15" sqref="N15"/>
    </sheetView>
  </sheetViews>
  <sheetFormatPr defaultRowHeight="14.25" x14ac:dyDescent="0.2"/>
  <cols>
    <col min="1" max="1" width="6.125" bestFit="1" customWidth="1"/>
    <col min="2" max="2" width="31" bestFit="1" customWidth="1"/>
    <col min="3" max="3" width="11.25" bestFit="1" customWidth="1"/>
    <col min="4" max="4" width="13.75" bestFit="1" customWidth="1"/>
    <col min="5" max="5" width="8.875" bestFit="1" customWidth="1"/>
    <col min="6" max="6" width="15.5" bestFit="1" customWidth="1"/>
    <col min="7" max="7" width="16.625" bestFit="1" customWidth="1"/>
    <col min="8" max="8" width="8.875" bestFit="1" customWidth="1"/>
    <col min="9" max="9" width="16.125" bestFit="1" customWidth="1"/>
    <col min="10" max="10" width="16.875" bestFit="1" customWidth="1"/>
    <col min="11" max="11" width="13.375" bestFit="1" customWidth="1"/>
    <col min="12" max="12" width="8.75" bestFit="1" customWidth="1"/>
  </cols>
  <sheetData>
    <row r="1" spans="1:12" ht="16.5" thickBot="1" x14ac:dyDescent="0.3">
      <c r="A1" s="20" t="s">
        <v>57</v>
      </c>
      <c r="B1" s="20" t="s">
        <v>58</v>
      </c>
      <c r="C1" s="21" t="s">
        <v>2</v>
      </c>
      <c r="D1" s="20" t="s">
        <v>59</v>
      </c>
      <c r="E1" s="21" t="s">
        <v>4</v>
      </c>
      <c r="F1" s="21" t="s">
        <v>89</v>
      </c>
      <c r="G1" s="20" t="s">
        <v>88</v>
      </c>
      <c r="H1" s="22" t="s">
        <v>55</v>
      </c>
      <c r="I1" s="20" t="s">
        <v>92</v>
      </c>
      <c r="J1" s="46" t="s">
        <v>91</v>
      </c>
      <c r="K1" s="20" t="s">
        <v>61</v>
      </c>
      <c r="L1" s="20" t="s">
        <v>62</v>
      </c>
    </row>
    <row r="2" spans="1:12" ht="15" thickBot="1" x14ac:dyDescent="0.25">
      <c r="A2" s="23">
        <v>1</v>
      </c>
      <c r="B2" s="24" t="s">
        <v>17</v>
      </c>
      <c r="C2" s="25" t="s">
        <v>18</v>
      </c>
      <c r="D2" s="26">
        <v>0</v>
      </c>
      <c r="E2" s="27">
        <v>50000</v>
      </c>
      <c r="F2" s="27">
        <v>0</v>
      </c>
      <c r="G2" s="26">
        <f t="shared" ref="G2:G19" si="0">E2*0.24</f>
        <v>12000</v>
      </c>
      <c r="H2" s="28">
        <f t="shared" ref="H2:H21" si="1">SUM(D2,E2:G2)</f>
        <v>62000</v>
      </c>
      <c r="I2" s="26">
        <v>0</v>
      </c>
      <c r="J2" s="26">
        <v>0</v>
      </c>
      <c r="K2" s="29">
        <f>H2-I2-J2</f>
        <v>62000</v>
      </c>
      <c r="L2" s="29">
        <f>H2-K2</f>
        <v>0</v>
      </c>
    </row>
    <row r="3" spans="1:12" ht="15.75" thickBot="1" x14ac:dyDescent="0.3">
      <c r="A3" s="89">
        <v>2</v>
      </c>
      <c r="B3" s="90" t="s">
        <v>64</v>
      </c>
      <c r="C3" s="91"/>
      <c r="D3" s="92">
        <v>0</v>
      </c>
      <c r="E3" s="93">
        <v>10000</v>
      </c>
      <c r="F3" s="93">
        <v>0</v>
      </c>
      <c r="G3" s="92">
        <f t="shared" si="0"/>
        <v>2400</v>
      </c>
      <c r="H3" s="94">
        <f t="shared" si="1"/>
        <v>12400</v>
      </c>
      <c r="I3" s="92">
        <v>0</v>
      </c>
      <c r="J3" s="92">
        <v>0</v>
      </c>
      <c r="K3" s="95">
        <v>12400</v>
      </c>
      <c r="L3" s="96">
        <f t="shared" ref="L3:L19" si="2">H3-K3</f>
        <v>0</v>
      </c>
    </row>
    <row r="4" spans="1:12" ht="15.75" thickBot="1" x14ac:dyDescent="0.3">
      <c r="A4" s="23">
        <v>3</v>
      </c>
      <c r="B4" s="24" t="s">
        <v>65</v>
      </c>
      <c r="C4" s="25"/>
      <c r="D4" s="26">
        <v>0</v>
      </c>
      <c r="E4" s="27">
        <v>2000</v>
      </c>
      <c r="F4" s="27">
        <v>0</v>
      </c>
      <c r="G4" s="26">
        <f t="shared" si="0"/>
        <v>480</v>
      </c>
      <c r="H4" s="28">
        <f t="shared" si="1"/>
        <v>2480</v>
      </c>
      <c r="I4" s="26">
        <v>0</v>
      </c>
      <c r="J4" s="26">
        <v>0</v>
      </c>
      <c r="K4" s="29">
        <f t="shared" ref="K4:K20" si="3">H4-I4-J4</f>
        <v>2480</v>
      </c>
      <c r="L4" s="30">
        <f t="shared" si="2"/>
        <v>0</v>
      </c>
    </row>
    <row r="5" spans="1:12" ht="15.75" thickBot="1" x14ac:dyDescent="0.3">
      <c r="A5" s="23">
        <v>4</v>
      </c>
      <c r="B5" s="24" t="s">
        <v>66</v>
      </c>
      <c r="C5" s="25"/>
      <c r="D5" s="26">
        <v>0</v>
      </c>
      <c r="E5" s="27">
        <v>10000</v>
      </c>
      <c r="F5" s="27">
        <v>0</v>
      </c>
      <c r="G5" s="26">
        <f t="shared" si="0"/>
        <v>2400</v>
      </c>
      <c r="H5" s="28">
        <f t="shared" si="1"/>
        <v>12400</v>
      </c>
      <c r="I5" s="26">
        <v>0</v>
      </c>
      <c r="J5" s="26">
        <v>0</v>
      </c>
      <c r="K5" s="29">
        <f t="shared" si="3"/>
        <v>12400</v>
      </c>
      <c r="L5" s="30">
        <f t="shared" si="2"/>
        <v>0</v>
      </c>
    </row>
    <row r="6" spans="1:12" ht="15.75" thickBot="1" x14ac:dyDescent="0.3">
      <c r="A6" s="23">
        <v>5</v>
      </c>
      <c r="B6" s="24" t="s">
        <v>13</v>
      </c>
      <c r="C6" s="25" t="s">
        <v>43</v>
      </c>
      <c r="D6" s="26">
        <v>0</v>
      </c>
      <c r="E6" s="27">
        <v>1000</v>
      </c>
      <c r="F6" s="27">
        <v>0</v>
      </c>
      <c r="G6" s="26">
        <f t="shared" si="0"/>
        <v>240</v>
      </c>
      <c r="H6" s="28">
        <f t="shared" si="1"/>
        <v>1240</v>
      </c>
      <c r="I6" s="26">
        <v>0</v>
      </c>
      <c r="J6" s="26">
        <v>0</v>
      </c>
      <c r="K6" s="29">
        <f t="shared" si="3"/>
        <v>1240</v>
      </c>
      <c r="L6" s="30">
        <f t="shared" si="2"/>
        <v>0</v>
      </c>
    </row>
    <row r="7" spans="1:12" ht="15.75" thickBot="1" x14ac:dyDescent="0.3">
      <c r="A7" s="23">
        <v>6</v>
      </c>
      <c r="B7" s="24" t="s">
        <v>68</v>
      </c>
      <c r="C7" s="25" t="s">
        <v>69</v>
      </c>
      <c r="D7" s="26">
        <v>0</v>
      </c>
      <c r="E7" s="27">
        <v>1000</v>
      </c>
      <c r="F7" s="27">
        <v>0</v>
      </c>
      <c r="G7" s="26">
        <f t="shared" si="0"/>
        <v>240</v>
      </c>
      <c r="H7" s="28">
        <f t="shared" si="1"/>
        <v>1240</v>
      </c>
      <c r="I7" s="26">
        <v>0</v>
      </c>
      <c r="J7" s="26">
        <v>0</v>
      </c>
      <c r="K7" s="29">
        <f t="shared" si="3"/>
        <v>1240</v>
      </c>
      <c r="L7" s="30">
        <f t="shared" si="2"/>
        <v>0</v>
      </c>
    </row>
    <row r="8" spans="1:12" ht="15.75" thickBot="1" x14ac:dyDescent="0.3">
      <c r="A8" s="89">
        <v>7</v>
      </c>
      <c r="B8" s="90" t="s">
        <v>70</v>
      </c>
      <c r="C8" s="91"/>
      <c r="D8" s="92">
        <v>0</v>
      </c>
      <c r="E8" s="93">
        <v>500</v>
      </c>
      <c r="F8" s="93">
        <v>0</v>
      </c>
      <c r="G8" s="92">
        <f t="shared" si="0"/>
        <v>120</v>
      </c>
      <c r="H8" s="94">
        <f t="shared" si="1"/>
        <v>620</v>
      </c>
      <c r="I8" s="92">
        <v>0</v>
      </c>
      <c r="J8" s="92">
        <v>0</v>
      </c>
      <c r="K8" s="95">
        <v>620</v>
      </c>
      <c r="L8" s="96">
        <f t="shared" si="2"/>
        <v>0</v>
      </c>
    </row>
    <row r="9" spans="1:12" ht="15.75" thickBot="1" x14ac:dyDescent="0.3">
      <c r="A9" s="23">
        <v>8</v>
      </c>
      <c r="B9" s="24" t="s">
        <v>71</v>
      </c>
      <c r="C9" s="25"/>
      <c r="D9" s="26">
        <v>0</v>
      </c>
      <c r="E9" s="27">
        <v>500</v>
      </c>
      <c r="F9" s="27">
        <v>0</v>
      </c>
      <c r="G9" s="26">
        <f t="shared" si="0"/>
        <v>120</v>
      </c>
      <c r="H9" s="28">
        <f t="shared" si="1"/>
        <v>620</v>
      </c>
      <c r="I9" s="26">
        <v>0</v>
      </c>
      <c r="J9" s="26">
        <v>0</v>
      </c>
      <c r="K9" s="29">
        <f t="shared" si="3"/>
        <v>620</v>
      </c>
      <c r="L9" s="30">
        <f t="shared" si="2"/>
        <v>0</v>
      </c>
    </row>
    <row r="10" spans="1:12" ht="15.75" thickBot="1" x14ac:dyDescent="0.3">
      <c r="A10" s="23">
        <v>9</v>
      </c>
      <c r="B10" s="24" t="s">
        <v>72</v>
      </c>
      <c r="C10" s="25"/>
      <c r="D10" s="26">
        <v>0</v>
      </c>
      <c r="E10" s="27">
        <v>1000</v>
      </c>
      <c r="F10" s="27">
        <v>0</v>
      </c>
      <c r="G10" s="26">
        <f t="shared" si="0"/>
        <v>240</v>
      </c>
      <c r="H10" s="28">
        <f t="shared" si="1"/>
        <v>1240</v>
      </c>
      <c r="I10" s="26">
        <v>0</v>
      </c>
      <c r="J10" s="26">
        <v>0</v>
      </c>
      <c r="K10" s="29">
        <f t="shared" si="3"/>
        <v>1240</v>
      </c>
      <c r="L10" s="30">
        <f t="shared" si="2"/>
        <v>0</v>
      </c>
    </row>
    <row r="11" spans="1:12" ht="15.75" thickBot="1" x14ac:dyDescent="0.3">
      <c r="A11" s="23">
        <v>10</v>
      </c>
      <c r="B11" s="24" t="s">
        <v>73</v>
      </c>
      <c r="C11" s="25"/>
      <c r="D11" s="26">
        <v>0</v>
      </c>
      <c r="E11" s="27">
        <v>1000</v>
      </c>
      <c r="F11" s="27">
        <v>0</v>
      </c>
      <c r="G11" s="26">
        <f t="shared" si="0"/>
        <v>240</v>
      </c>
      <c r="H11" s="28">
        <f t="shared" si="1"/>
        <v>1240</v>
      </c>
      <c r="I11" s="26">
        <v>0</v>
      </c>
      <c r="J11" s="26">
        <v>0</v>
      </c>
      <c r="K11" s="29">
        <f t="shared" si="3"/>
        <v>1240</v>
      </c>
      <c r="L11" s="30">
        <f t="shared" si="2"/>
        <v>0</v>
      </c>
    </row>
    <row r="12" spans="1:12" ht="15.75" thickBot="1" x14ac:dyDescent="0.3">
      <c r="A12" s="23">
        <v>11</v>
      </c>
      <c r="B12" s="24" t="s">
        <v>74</v>
      </c>
      <c r="C12" s="25"/>
      <c r="D12" s="26">
        <v>0</v>
      </c>
      <c r="E12" s="27">
        <v>500</v>
      </c>
      <c r="F12" s="27">
        <v>0</v>
      </c>
      <c r="G12" s="26">
        <f t="shared" si="0"/>
        <v>120</v>
      </c>
      <c r="H12" s="28">
        <f t="shared" si="1"/>
        <v>620</v>
      </c>
      <c r="I12" s="26">
        <v>0</v>
      </c>
      <c r="J12" s="26">
        <v>0</v>
      </c>
      <c r="K12" s="29">
        <f t="shared" si="3"/>
        <v>620</v>
      </c>
      <c r="L12" s="30">
        <f t="shared" si="2"/>
        <v>0</v>
      </c>
    </row>
    <row r="13" spans="1:12" ht="15.75" thickBot="1" x14ac:dyDescent="0.3">
      <c r="A13" s="23">
        <v>12</v>
      </c>
      <c r="B13" s="24" t="s">
        <v>13</v>
      </c>
      <c r="C13" s="25" t="s">
        <v>23</v>
      </c>
      <c r="D13" s="26">
        <v>0</v>
      </c>
      <c r="E13" s="27">
        <v>10000</v>
      </c>
      <c r="F13" s="27">
        <v>0</v>
      </c>
      <c r="G13" s="26">
        <f t="shared" si="0"/>
        <v>2400</v>
      </c>
      <c r="H13" s="28">
        <f t="shared" si="1"/>
        <v>12400</v>
      </c>
      <c r="I13" s="26">
        <v>0</v>
      </c>
      <c r="J13" s="26">
        <v>0</v>
      </c>
      <c r="K13" s="29">
        <f t="shared" si="3"/>
        <v>12400</v>
      </c>
      <c r="L13" s="30">
        <f t="shared" si="2"/>
        <v>0</v>
      </c>
    </row>
    <row r="14" spans="1:12" s="97" customFormat="1" ht="15.75" thickBot="1" x14ac:dyDescent="0.3">
      <c r="A14" s="89">
        <v>13</v>
      </c>
      <c r="B14" s="90" t="s">
        <v>75</v>
      </c>
      <c r="C14" s="91" t="s">
        <v>47</v>
      </c>
      <c r="D14" s="92">
        <v>0</v>
      </c>
      <c r="E14" s="93">
        <v>5000</v>
      </c>
      <c r="F14" s="93">
        <v>0</v>
      </c>
      <c r="G14" s="92">
        <f t="shared" si="0"/>
        <v>1200</v>
      </c>
      <c r="H14" s="94">
        <f t="shared" si="1"/>
        <v>6200</v>
      </c>
      <c r="I14" s="92">
        <v>0</v>
      </c>
      <c r="J14" s="92">
        <v>0</v>
      </c>
      <c r="K14" s="95">
        <v>6200</v>
      </c>
      <c r="L14" s="96">
        <f t="shared" si="2"/>
        <v>0</v>
      </c>
    </row>
    <row r="15" spans="1:12" ht="15.75" thickBot="1" x14ac:dyDescent="0.3">
      <c r="A15" s="23">
        <v>14</v>
      </c>
      <c r="B15" s="24" t="s">
        <v>49</v>
      </c>
      <c r="C15" s="25" t="s">
        <v>47</v>
      </c>
      <c r="D15" s="26">
        <v>0</v>
      </c>
      <c r="E15" s="27">
        <v>10000</v>
      </c>
      <c r="F15" s="27">
        <v>0</v>
      </c>
      <c r="G15" s="26">
        <f t="shared" si="0"/>
        <v>2400</v>
      </c>
      <c r="H15" s="28">
        <f t="shared" si="1"/>
        <v>12400</v>
      </c>
      <c r="I15" s="26">
        <v>0</v>
      </c>
      <c r="J15" s="26">
        <v>0</v>
      </c>
      <c r="K15" s="29">
        <f t="shared" si="3"/>
        <v>12400</v>
      </c>
      <c r="L15" s="30">
        <f t="shared" si="2"/>
        <v>0</v>
      </c>
    </row>
    <row r="16" spans="1:12" ht="15.75" thickBot="1" x14ac:dyDescent="0.3">
      <c r="A16" s="23">
        <v>15</v>
      </c>
      <c r="B16" s="24" t="s">
        <v>76</v>
      </c>
      <c r="C16" s="25"/>
      <c r="D16" s="26">
        <v>0</v>
      </c>
      <c r="E16" s="27">
        <v>10000</v>
      </c>
      <c r="F16" s="27">
        <v>0</v>
      </c>
      <c r="G16" s="26">
        <f t="shared" si="0"/>
        <v>2400</v>
      </c>
      <c r="H16" s="28">
        <f t="shared" si="1"/>
        <v>12400</v>
      </c>
      <c r="I16" s="26">
        <v>0</v>
      </c>
      <c r="J16" s="26">
        <v>0</v>
      </c>
      <c r="K16" s="29">
        <f t="shared" si="3"/>
        <v>12400</v>
      </c>
      <c r="L16" s="30">
        <f t="shared" si="2"/>
        <v>0</v>
      </c>
    </row>
    <row r="17" spans="1:12" ht="15.75" thickBot="1" x14ac:dyDescent="0.3">
      <c r="A17" s="23">
        <v>16</v>
      </c>
      <c r="B17" s="24" t="s">
        <v>13</v>
      </c>
      <c r="C17" s="25" t="s">
        <v>14</v>
      </c>
      <c r="D17" s="26">
        <v>0</v>
      </c>
      <c r="E17" s="27">
        <v>10000</v>
      </c>
      <c r="F17" s="27">
        <v>0</v>
      </c>
      <c r="G17" s="26">
        <f t="shared" si="0"/>
        <v>2400</v>
      </c>
      <c r="H17" s="28">
        <f t="shared" si="1"/>
        <v>12400</v>
      </c>
      <c r="I17" s="26">
        <v>0</v>
      </c>
      <c r="J17" s="26">
        <v>0</v>
      </c>
      <c r="K17" s="29">
        <f t="shared" si="3"/>
        <v>12400</v>
      </c>
      <c r="L17" s="30">
        <f t="shared" si="2"/>
        <v>0</v>
      </c>
    </row>
    <row r="18" spans="1:12" ht="15.75" thickBot="1" x14ac:dyDescent="0.3">
      <c r="A18" s="23">
        <v>17</v>
      </c>
      <c r="B18" s="24" t="s">
        <v>52</v>
      </c>
      <c r="C18" s="25" t="s">
        <v>14</v>
      </c>
      <c r="D18" s="26">
        <v>0</v>
      </c>
      <c r="E18" s="27">
        <v>10000</v>
      </c>
      <c r="F18" s="27">
        <v>0</v>
      </c>
      <c r="G18" s="26">
        <f t="shared" si="0"/>
        <v>2400</v>
      </c>
      <c r="H18" s="28">
        <f t="shared" si="1"/>
        <v>12400</v>
      </c>
      <c r="I18" s="26">
        <v>0</v>
      </c>
      <c r="J18" s="26">
        <v>0</v>
      </c>
      <c r="K18" s="29">
        <f t="shared" si="3"/>
        <v>12400</v>
      </c>
      <c r="L18" s="30">
        <f t="shared" si="2"/>
        <v>0</v>
      </c>
    </row>
    <row r="19" spans="1:12" ht="15.75" thickBot="1" x14ac:dyDescent="0.3">
      <c r="A19" s="89">
        <v>18</v>
      </c>
      <c r="B19" s="90" t="s">
        <v>39</v>
      </c>
      <c r="C19" s="91" t="s">
        <v>40</v>
      </c>
      <c r="D19" s="92">
        <v>16000</v>
      </c>
      <c r="E19" s="93">
        <v>2500</v>
      </c>
      <c r="F19" s="93">
        <v>0</v>
      </c>
      <c r="G19" s="92">
        <f t="shared" si="0"/>
        <v>600</v>
      </c>
      <c r="H19" s="94">
        <f t="shared" si="1"/>
        <v>19100</v>
      </c>
      <c r="I19" s="92">
        <v>0</v>
      </c>
      <c r="J19" s="92">
        <v>0</v>
      </c>
      <c r="K19" s="95">
        <v>19100</v>
      </c>
      <c r="L19" s="96">
        <f t="shared" si="2"/>
        <v>0</v>
      </c>
    </row>
    <row r="20" spans="1:12" ht="15.75" thickBot="1" x14ac:dyDescent="0.3">
      <c r="A20" s="23">
        <v>19</v>
      </c>
      <c r="B20" s="24" t="s">
        <v>51</v>
      </c>
      <c r="C20" s="25" t="s">
        <v>36</v>
      </c>
      <c r="D20" s="26">
        <v>0</v>
      </c>
      <c r="E20" s="27">
        <v>15376</v>
      </c>
      <c r="F20" s="27">
        <f>E20*0.24</f>
        <v>3690.24</v>
      </c>
      <c r="G20" s="26">
        <f>E20*0.24</f>
        <v>3690.24</v>
      </c>
      <c r="H20" s="28">
        <f t="shared" si="1"/>
        <v>22756.479999999996</v>
      </c>
      <c r="I20" s="26">
        <v>2792</v>
      </c>
      <c r="J20" s="26">
        <v>0</v>
      </c>
      <c r="K20" s="29">
        <f t="shared" si="3"/>
        <v>19964.479999999996</v>
      </c>
      <c r="L20" s="30">
        <v>0</v>
      </c>
    </row>
    <row r="21" spans="1:12" ht="15.75" thickBot="1" x14ac:dyDescent="0.3">
      <c r="A21" s="48">
        <v>20</v>
      </c>
      <c r="B21" s="49" t="s">
        <v>13</v>
      </c>
      <c r="C21" s="50" t="s">
        <v>26</v>
      </c>
      <c r="D21" s="51">
        <v>12000</v>
      </c>
      <c r="E21" s="52">
        <v>500</v>
      </c>
      <c r="F21" s="52">
        <f t="shared" ref="F21" si="4">E21*0.24</f>
        <v>120</v>
      </c>
      <c r="G21" s="51">
        <f t="shared" ref="G21" si="5">E21*0.24</f>
        <v>120</v>
      </c>
      <c r="H21" s="53">
        <f t="shared" si="1"/>
        <v>12740</v>
      </c>
      <c r="I21" s="98">
        <v>0</v>
      </c>
      <c r="J21" s="51">
        <v>0</v>
      </c>
      <c r="K21" s="54">
        <v>740</v>
      </c>
      <c r="L21" s="55">
        <v>12000</v>
      </c>
    </row>
    <row r="22" spans="1:12" ht="15.75" thickBot="1" x14ac:dyDescent="0.3">
      <c r="A22" s="23">
        <v>21</v>
      </c>
      <c r="B22" s="24" t="s">
        <v>52</v>
      </c>
      <c r="C22" s="34" t="s">
        <v>14</v>
      </c>
      <c r="D22" s="26">
        <v>0</v>
      </c>
      <c r="E22" s="35">
        <v>27725</v>
      </c>
      <c r="F22" s="27">
        <f t="shared" ref="F22" si="6">E22*0.24</f>
        <v>6654</v>
      </c>
      <c r="G22" s="26">
        <f t="shared" ref="G22" si="7">E22*0.24</f>
        <v>6654</v>
      </c>
      <c r="H22" s="28">
        <f t="shared" ref="H22" si="8">SUM(D22,E22:G22)</f>
        <v>41033</v>
      </c>
      <c r="I22" s="45">
        <v>0</v>
      </c>
      <c r="J22" s="45">
        <v>0</v>
      </c>
      <c r="K22" s="29">
        <f t="shared" ref="K22" si="9">H22-I22-J22</f>
        <v>41033</v>
      </c>
      <c r="L22" s="47">
        <f t="shared" ref="L22" si="10">H22-K22</f>
        <v>0</v>
      </c>
    </row>
    <row r="23" spans="1:12" ht="16.5" thickBot="1" x14ac:dyDescent="0.3">
      <c r="A23" s="190" t="s">
        <v>55</v>
      </c>
      <c r="B23" s="190"/>
      <c r="C23" s="190"/>
      <c r="D23" s="36">
        <f t="shared" ref="D23:L23" si="11">SUM(D2:D22)</f>
        <v>28000</v>
      </c>
      <c r="E23" s="37">
        <f t="shared" si="11"/>
        <v>178601</v>
      </c>
      <c r="F23" s="37">
        <f t="shared" si="11"/>
        <v>10464.24</v>
      </c>
      <c r="G23" s="36">
        <f t="shared" si="11"/>
        <v>42864.24</v>
      </c>
      <c r="H23" s="38">
        <f t="shared" si="11"/>
        <v>259929.47999999998</v>
      </c>
      <c r="I23" s="44">
        <f t="shared" si="11"/>
        <v>2792</v>
      </c>
      <c r="J23" s="44">
        <f t="shared" si="11"/>
        <v>0</v>
      </c>
      <c r="K23" s="44">
        <f t="shared" si="11"/>
        <v>245137.47999999998</v>
      </c>
      <c r="L23" s="44">
        <f t="shared" si="11"/>
        <v>12000</v>
      </c>
    </row>
    <row r="24" spans="1:12" ht="21" thickBot="1" x14ac:dyDescent="0.35">
      <c r="A24" s="191" t="s">
        <v>77</v>
      </c>
      <c r="B24" s="192"/>
      <c r="C24" s="192"/>
      <c r="D24" s="192"/>
      <c r="E24" s="192"/>
      <c r="F24" s="192"/>
      <c r="G24" s="192"/>
      <c r="H24" s="192"/>
      <c r="I24" s="187">
        <f>K23+L23</f>
        <v>257137.47999999998</v>
      </c>
      <c r="J24" s="188"/>
      <c r="K24" s="188"/>
      <c r="L24" s="189"/>
    </row>
  </sheetData>
  <mergeCells count="3">
    <mergeCell ref="I24:L24"/>
    <mergeCell ref="A23:C23"/>
    <mergeCell ref="A24:H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8F7C-7D28-4B31-AA85-29009721377C}">
  <dimension ref="A1:M23"/>
  <sheetViews>
    <sheetView zoomScale="80" zoomScaleNormal="80" workbookViewId="0">
      <selection activeCell="A10" sqref="A10"/>
    </sheetView>
  </sheetViews>
  <sheetFormatPr defaultColWidth="9" defaultRowHeight="14.25" x14ac:dyDescent="0.2"/>
  <cols>
    <col min="1" max="1" width="5.75" bestFit="1" customWidth="1"/>
    <col min="2" max="2" width="25.75" customWidth="1"/>
    <col min="3" max="3" width="11.25" customWidth="1"/>
    <col min="4" max="4" width="9.875" bestFit="1" customWidth="1"/>
    <col min="5" max="5" width="8.875" bestFit="1" customWidth="1"/>
    <col min="6" max="6" width="7.875" bestFit="1" customWidth="1"/>
    <col min="7" max="7" width="9.625" bestFit="1" customWidth="1"/>
    <col min="8" max="8" width="13.375" bestFit="1" customWidth="1"/>
    <col min="9" max="9" width="11.875" bestFit="1" customWidth="1"/>
    <col min="10" max="10" width="14" bestFit="1" customWidth="1"/>
    <col min="11" max="11" width="34.125" customWidth="1"/>
    <col min="12" max="12" width="14.5" bestFit="1" customWidth="1"/>
    <col min="13" max="13" width="20.25" bestFit="1" customWidth="1"/>
    <col min="14" max="14" width="9" customWidth="1"/>
    <col min="15" max="1019" width="10.75" customWidth="1"/>
    <col min="1020" max="1020" width="9" customWidth="1"/>
  </cols>
  <sheetData>
    <row r="1" spans="1:13" ht="16.5" thickBo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customHeight="1" thickBot="1" x14ac:dyDescent="0.25">
      <c r="A2" s="4">
        <v>1</v>
      </c>
      <c r="B2" s="5" t="s">
        <v>13</v>
      </c>
      <c r="C2" s="6" t="s">
        <v>14</v>
      </c>
      <c r="D2" s="7" t="s">
        <v>15</v>
      </c>
      <c r="E2" s="8">
        <v>10000</v>
      </c>
      <c r="F2" s="8">
        <v>0</v>
      </c>
      <c r="G2" s="8">
        <v>0</v>
      </c>
      <c r="H2" s="8">
        <v>0</v>
      </c>
      <c r="I2" s="8">
        <v>0</v>
      </c>
      <c r="J2" s="8">
        <v>666</v>
      </c>
      <c r="K2" s="5" t="s">
        <v>16</v>
      </c>
      <c r="L2" s="8">
        <v>10000</v>
      </c>
      <c r="M2" s="42">
        <f>SUM(F2:G2:H2:I2:J2:L2)</f>
        <v>10666</v>
      </c>
    </row>
    <row r="3" spans="1:13" s="9" customFormat="1" ht="43.5" thickBot="1" x14ac:dyDescent="0.25">
      <c r="A3" s="4">
        <v>2</v>
      </c>
      <c r="B3" s="5" t="s">
        <v>17</v>
      </c>
      <c r="C3" s="6" t="s">
        <v>18</v>
      </c>
      <c r="D3" s="7" t="s">
        <v>19</v>
      </c>
      <c r="E3" s="8">
        <v>13000</v>
      </c>
      <c r="F3" s="8">
        <v>5200</v>
      </c>
      <c r="G3" s="8">
        <v>0</v>
      </c>
      <c r="H3" s="8">
        <v>1280</v>
      </c>
      <c r="I3" s="8">
        <v>300</v>
      </c>
      <c r="J3" s="8">
        <v>0</v>
      </c>
      <c r="K3" s="6" t="s">
        <v>20</v>
      </c>
      <c r="L3" s="8">
        <v>200</v>
      </c>
      <c r="M3" s="42">
        <f>SUM(F3:G3:H3:I3:J3:L3)</f>
        <v>6980</v>
      </c>
    </row>
    <row r="4" spans="1:13" ht="15.75" customHeight="1" thickBot="1" x14ac:dyDescent="0.25">
      <c r="A4" s="4">
        <v>3</v>
      </c>
      <c r="B4" s="5" t="s">
        <v>13</v>
      </c>
      <c r="C4" s="6" t="s">
        <v>18</v>
      </c>
      <c r="D4" s="7" t="s">
        <v>21</v>
      </c>
      <c r="E4" s="8">
        <v>10000</v>
      </c>
      <c r="F4" s="8">
        <v>5200</v>
      </c>
      <c r="G4" s="8">
        <v>1500</v>
      </c>
      <c r="H4" s="8">
        <v>1280</v>
      </c>
      <c r="I4" s="8">
        <v>260</v>
      </c>
      <c r="J4" s="8">
        <v>0</v>
      </c>
      <c r="K4" s="5" t="s">
        <v>22</v>
      </c>
      <c r="L4" s="8">
        <v>1100</v>
      </c>
      <c r="M4" s="42">
        <f>SUM(F4:G4:H4:I4:J4:L4)</f>
        <v>9340</v>
      </c>
    </row>
    <row r="5" spans="1:13" ht="43.5" thickBot="1" x14ac:dyDescent="0.25">
      <c r="A5" s="4">
        <v>4</v>
      </c>
      <c r="B5" s="5" t="s">
        <v>13</v>
      </c>
      <c r="C5" s="6" t="s">
        <v>23</v>
      </c>
      <c r="D5" s="7" t="s">
        <v>24</v>
      </c>
      <c r="E5" s="8">
        <v>10000</v>
      </c>
      <c r="F5" s="8">
        <v>5200</v>
      </c>
      <c r="G5" s="8">
        <v>1500</v>
      </c>
      <c r="H5" s="8">
        <v>1280</v>
      </c>
      <c r="I5" s="8">
        <v>250</v>
      </c>
      <c r="J5" s="8">
        <v>299</v>
      </c>
      <c r="K5" s="5" t="s">
        <v>25</v>
      </c>
      <c r="L5" s="8">
        <v>2800</v>
      </c>
      <c r="M5" s="42">
        <f>SUM(F5:G5:H5:I5:J5:L5)</f>
        <v>11329</v>
      </c>
    </row>
    <row r="6" spans="1:13" ht="15.75" customHeight="1" thickBot="1" x14ac:dyDescent="0.25">
      <c r="A6" s="4">
        <v>5</v>
      </c>
      <c r="B6" s="5" t="s">
        <v>13</v>
      </c>
      <c r="C6" s="6" t="s">
        <v>26</v>
      </c>
      <c r="D6" s="7" t="s">
        <v>27</v>
      </c>
      <c r="E6" s="8">
        <v>10000</v>
      </c>
      <c r="F6" s="8">
        <v>5200</v>
      </c>
      <c r="G6" s="8">
        <v>1500</v>
      </c>
      <c r="H6" s="8">
        <v>1280</v>
      </c>
      <c r="I6" s="8">
        <v>220</v>
      </c>
      <c r="J6" s="8">
        <v>509</v>
      </c>
      <c r="K6" s="5" t="s">
        <v>28</v>
      </c>
      <c r="L6" s="8">
        <v>750</v>
      </c>
      <c r="M6" s="42">
        <f>SUM(F6:G6:H6:I6:J6:L6)</f>
        <v>9459</v>
      </c>
    </row>
    <row r="7" spans="1:13" ht="29.25" thickBot="1" x14ac:dyDescent="0.25">
      <c r="A7" s="4">
        <v>6</v>
      </c>
      <c r="B7" s="5" t="s">
        <v>29</v>
      </c>
      <c r="C7" s="6" t="s">
        <v>18</v>
      </c>
      <c r="D7" s="7" t="s">
        <v>30</v>
      </c>
      <c r="E7" s="8">
        <v>10000</v>
      </c>
      <c r="F7" s="8">
        <v>5200</v>
      </c>
      <c r="G7" s="8">
        <v>11500</v>
      </c>
      <c r="H7" s="8">
        <v>1280</v>
      </c>
      <c r="I7" s="8">
        <v>248</v>
      </c>
      <c r="J7" s="8">
        <v>0</v>
      </c>
      <c r="K7" s="5" t="s">
        <v>31</v>
      </c>
      <c r="L7" s="8">
        <v>1380</v>
      </c>
      <c r="M7" s="42">
        <f>SUM(F7:G7:H7:I7:J7:L7)</f>
        <v>19608</v>
      </c>
    </row>
    <row r="8" spans="1:13" ht="15.75" customHeight="1" thickBot="1" x14ac:dyDescent="0.25">
      <c r="A8" s="4">
        <v>7</v>
      </c>
      <c r="B8" s="5" t="s">
        <v>32</v>
      </c>
      <c r="C8" s="6" t="s">
        <v>33</v>
      </c>
      <c r="D8" s="7" t="s">
        <v>34</v>
      </c>
      <c r="E8" s="8">
        <v>10000</v>
      </c>
      <c r="F8" s="8">
        <v>5200</v>
      </c>
      <c r="G8" s="8">
        <v>0</v>
      </c>
      <c r="H8" s="8">
        <v>1280</v>
      </c>
      <c r="I8" s="8">
        <v>311</v>
      </c>
      <c r="J8" s="8">
        <v>0</v>
      </c>
      <c r="K8" s="5" t="s">
        <v>35</v>
      </c>
      <c r="L8" s="8">
        <v>0</v>
      </c>
      <c r="M8" s="42">
        <f>SUM(F8:G8:H8:I8:J8:L8)</f>
        <v>6791</v>
      </c>
    </row>
    <row r="9" spans="1:13" ht="15.75" customHeight="1" thickBot="1" x14ac:dyDescent="0.25">
      <c r="A9" s="4">
        <v>8</v>
      </c>
      <c r="B9" s="5" t="s">
        <v>29</v>
      </c>
      <c r="C9" s="6" t="s">
        <v>36</v>
      </c>
      <c r="D9" s="7" t="s">
        <v>37</v>
      </c>
      <c r="E9" s="8">
        <v>10000</v>
      </c>
      <c r="F9" s="8">
        <v>5200</v>
      </c>
      <c r="G9" s="8">
        <v>0</v>
      </c>
      <c r="H9" s="8">
        <v>1280</v>
      </c>
      <c r="I9" s="8">
        <v>355</v>
      </c>
      <c r="J9" s="8">
        <v>1018</v>
      </c>
      <c r="K9" s="5" t="s">
        <v>38</v>
      </c>
      <c r="L9" s="8">
        <v>1400</v>
      </c>
      <c r="M9" s="42">
        <f>SUM(F9:G9:H9:I9:J9:L9)</f>
        <v>9253</v>
      </c>
    </row>
    <row r="10" spans="1:13" ht="100.5" thickBot="1" x14ac:dyDescent="0.25">
      <c r="A10" s="4">
        <v>9</v>
      </c>
      <c r="B10" s="5" t="s">
        <v>39</v>
      </c>
      <c r="C10" s="6" t="s">
        <v>40</v>
      </c>
      <c r="D10" s="7" t="s">
        <v>41</v>
      </c>
      <c r="E10" s="8">
        <v>10000</v>
      </c>
      <c r="F10" s="8">
        <v>5200</v>
      </c>
      <c r="G10" s="8">
        <v>0</v>
      </c>
      <c r="H10" s="8">
        <v>1280</v>
      </c>
      <c r="I10" s="8">
        <v>348</v>
      </c>
      <c r="J10" s="8">
        <v>0</v>
      </c>
      <c r="K10" s="5" t="s">
        <v>42</v>
      </c>
      <c r="L10" s="8">
        <v>12470</v>
      </c>
      <c r="M10" s="42">
        <f>SUM(F10:G10:H10:I10:J10:L10)</f>
        <v>19298</v>
      </c>
    </row>
    <row r="11" spans="1:13" ht="15.75" customHeight="1" thickBot="1" x14ac:dyDescent="0.25">
      <c r="A11" s="4">
        <v>10</v>
      </c>
      <c r="B11" s="5" t="s">
        <v>13</v>
      </c>
      <c r="C11" s="6" t="s">
        <v>43</v>
      </c>
      <c r="D11" s="7" t="s">
        <v>44</v>
      </c>
      <c r="E11" s="8">
        <v>10000</v>
      </c>
      <c r="F11" s="8">
        <v>5200</v>
      </c>
      <c r="G11" s="8">
        <v>0</v>
      </c>
      <c r="H11" s="8">
        <v>1280</v>
      </c>
      <c r="I11" s="8">
        <v>304</v>
      </c>
      <c r="J11" s="8">
        <v>0</v>
      </c>
      <c r="K11" s="5" t="s">
        <v>45</v>
      </c>
      <c r="L11" s="8">
        <v>1200</v>
      </c>
      <c r="M11" s="42">
        <f>SUM(F11:G11:H11:I11:J11:L11)</f>
        <v>7984</v>
      </c>
    </row>
    <row r="12" spans="1:13" ht="15.75" customHeight="1" thickBot="1" x14ac:dyDescent="0.25">
      <c r="A12" s="4">
        <v>11</v>
      </c>
      <c r="B12" s="5" t="s">
        <v>46</v>
      </c>
      <c r="C12" s="6" t="s">
        <v>47</v>
      </c>
      <c r="D12" s="7" t="s">
        <v>48</v>
      </c>
      <c r="E12" s="8">
        <v>10000</v>
      </c>
      <c r="F12" s="8">
        <v>5200</v>
      </c>
      <c r="G12" s="8">
        <v>0</v>
      </c>
      <c r="H12" s="8">
        <v>1280</v>
      </c>
      <c r="I12" s="8">
        <v>295</v>
      </c>
      <c r="J12" s="8">
        <v>0</v>
      </c>
      <c r="K12" s="5" t="s">
        <v>35</v>
      </c>
      <c r="L12" s="8">
        <v>0</v>
      </c>
      <c r="M12" s="42">
        <f>SUM(F12:G12:H12:I12:J12:L12)</f>
        <v>6775</v>
      </c>
    </row>
    <row r="13" spans="1:13" ht="15.75" customHeight="1" thickBot="1" x14ac:dyDescent="0.25">
      <c r="A13" s="4">
        <v>12</v>
      </c>
      <c r="B13" s="5" t="s">
        <v>49</v>
      </c>
      <c r="C13" s="6" t="s">
        <v>47</v>
      </c>
      <c r="D13" s="7" t="s">
        <v>50</v>
      </c>
      <c r="E13" s="8">
        <v>10000</v>
      </c>
      <c r="F13" s="10">
        <v>5200</v>
      </c>
      <c r="G13" s="10">
        <v>0</v>
      </c>
      <c r="H13" s="10">
        <v>1280</v>
      </c>
      <c r="I13" s="8">
        <v>287</v>
      </c>
      <c r="J13" s="8">
        <v>0</v>
      </c>
      <c r="K13" s="5" t="s">
        <v>35</v>
      </c>
      <c r="L13" s="8">
        <v>0</v>
      </c>
      <c r="M13" s="42">
        <f>SUM(F13:G13:H13:I13:J13:L13)</f>
        <v>6767</v>
      </c>
    </row>
    <row r="14" spans="1:13" ht="15.75" customHeight="1" thickBot="1" x14ac:dyDescent="0.25">
      <c r="A14" s="4">
        <v>13</v>
      </c>
      <c r="B14" s="5" t="s">
        <v>51</v>
      </c>
      <c r="C14" s="6" t="s">
        <v>36</v>
      </c>
      <c r="D14" s="7" t="s">
        <v>15</v>
      </c>
      <c r="E14" s="8">
        <v>10000</v>
      </c>
      <c r="F14" s="10">
        <v>5200</v>
      </c>
      <c r="G14" s="10">
        <v>2000</v>
      </c>
      <c r="H14" s="10">
        <v>1280</v>
      </c>
      <c r="I14" s="8">
        <v>260</v>
      </c>
      <c r="J14" s="8">
        <v>0</v>
      </c>
      <c r="K14" s="5" t="s">
        <v>90</v>
      </c>
      <c r="L14" s="8">
        <v>1360</v>
      </c>
      <c r="M14" s="42">
        <f>SUM(F14:G14:H14:I14:J14:L14)</f>
        <v>10100</v>
      </c>
    </row>
    <row r="15" spans="1:13" ht="15.75" customHeight="1" thickBot="1" x14ac:dyDescent="0.25">
      <c r="A15" s="11">
        <v>14</v>
      </c>
      <c r="B15" s="12" t="s">
        <v>52</v>
      </c>
      <c r="C15" s="13" t="s">
        <v>14</v>
      </c>
      <c r="D15" s="14" t="s">
        <v>35</v>
      </c>
      <c r="E15" s="15">
        <v>10000</v>
      </c>
      <c r="F15" s="193" t="s">
        <v>53</v>
      </c>
      <c r="G15" s="193"/>
      <c r="H15" s="193"/>
      <c r="I15" s="193"/>
      <c r="J15" s="193"/>
      <c r="K15" s="12" t="s">
        <v>54</v>
      </c>
      <c r="L15" s="15">
        <v>1000</v>
      </c>
      <c r="M15" s="43">
        <v>10000</v>
      </c>
    </row>
    <row r="16" spans="1:13" s="16" customFormat="1" ht="18.75" thickBot="1" x14ac:dyDescent="0.3">
      <c r="A16" s="194" t="s">
        <v>55</v>
      </c>
      <c r="B16" s="194"/>
      <c r="C16" s="194"/>
      <c r="D16" s="194"/>
      <c r="E16" s="17">
        <f>SUM(E2:E15)</f>
        <v>143000</v>
      </c>
      <c r="F16" s="17">
        <f>SUM(F2:F14)</f>
        <v>62400</v>
      </c>
      <c r="G16" s="17">
        <f>SUM(G2:G14)</f>
        <v>18000</v>
      </c>
      <c r="H16" s="17">
        <f>SUM(H2:H14)</f>
        <v>15360</v>
      </c>
      <c r="I16" s="17">
        <f>SUM(I2:I14)</f>
        <v>3438</v>
      </c>
      <c r="J16" s="17">
        <f>SUM(J2:J14)</f>
        <v>2492</v>
      </c>
      <c r="K16" s="17" t="s">
        <v>35</v>
      </c>
      <c r="L16" s="17">
        <f>SUM(L2:L14)</f>
        <v>32660</v>
      </c>
      <c r="M16" s="17">
        <f>SUM(M2:M15)</f>
        <v>144350</v>
      </c>
    </row>
    <row r="17" spans="1:13" ht="18.75" thickBot="1" x14ac:dyDescent="0.3">
      <c r="A17" s="195" t="s">
        <v>56</v>
      </c>
      <c r="B17" s="195"/>
      <c r="C17" s="195"/>
      <c r="D17" s="195"/>
      <c r="E17" s="195"/>
      <c r="F17" s="18"/>
      <c r="G17" s="196">
        <f>E16-M16</f>
        <v>-1350</v>
      </c>
      <c r="H17" s="196"/>
      <c r="I17" s="196"/>
      <c r="J17" s="196"/>
      <c r="K17" s="196"/>
      <c r="L17" s="196"/>
      <c r="M17" s="196"/>
    </row>
    <row r="23" spans="1:13" x14ac:dyDescent="0.2">
      <c r="L23" s="19"/>
    </row>
  </sheetData>
  <mergeCells count="4">
    <mergeCell ref="F15:J15"/>
    <mergeCell ref="A16:D16"/>
    <mergeCell ref="A17:E17"/>
    <mergeCell ref="G17:M17"/>
  </mergeCells>
  <pageMargins left="0" right="0" top="0.39410000000000006" bottom="0.39410000000000006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102F-D5D5-4439-9627-9B2B791851BF}">
  <dimension ref="A1:J20"/>
  <sheetViews>
    <sheetView workbookViewId="0">
      <selection activeCell="H1" sqref="H1"/>
    </sheetView>
  </sheetViews>
  <sheetFormatPr defaultRowHeight="14.25" x14ac:dyDescent="0.2"/>
  <cols>
    <col min="1" max="1" width="6.125" bestFit="1" customWidth="1"/>
    <col min="2" max="2" width="34.875" bestFit="1" customWidth="1"/>
    <col min="3" max="3" width="10.875" bestFit="1" customWidth="1"/>
    <col min="4" max="4" width="13.75" bestFit="1" customWidth="1"/>
    <col min="5" max="5" width="8.5" bestFit="1" customWidth="1"/>
    <col min="6" max="6" width="8.125" bestFit="1" customWidth="1"/>
    <col min="7" max="7" width="6.25" bestFit="1" customWidth="1"/>
    <col min="8" max="8" width="13.375" bestFit="1" customWidth="1"/>
    <col min="9" max="9" width="8.5" bestFit="1" customWidth="1"/>
    <col min="10" max="10" width="14.875" bestFit="1" customWidth="1"/>
  </cols>
  <sheetData>
    <row r="1" spans="1:10" ht="16.5" thickBot="1" x14ac:dyDescent="0.3">
      <c r="A1" s="20" t="s">
        <v>57</v>
      </c>
      <c r="B1" s="20" t="s">
        <v>58</v>
      </c>
      <c r="C1" s="20" t="s">
        <v>2</v>
      </c>
      <c r="D1" s="20" t="s">
        <v>59</v>
      </c>
      <c r="E1" s="20" t="s">
        <v>4</v>
      </c>
      <c r="F1" s="20" t="s">
        <v>60</v>
      </c>
      <c r="G1" s="20" t="s">
        <v>55</v>
      </c>
      <c r="H1" s="21" t="s">
        <v>61</v>
      </c>
      <c r="I1" s="20" t="s">
        <v>62</v>
      </c>
      <c r="J1" s="20" t="s">
        <v>63</v>
      </c>
    </row>
    <row r="2" spans="1:10" ht="15" thickBot="1" x14ac:dyDescent="0.25">
      <c r="A2" s="23">
        <v>1</v>
      </c>
      <c r="B2" s="24" t="s">
        <v>13</v>
      </c>
      <c r="C2" s="24" t="s">
        <v>43</v>
      </c>
      <c r="D2" s="26">
        <v>0</v>
      </c>
      <c r="E2" s="26">
        <v>1000</v>
      </c>
      <c r="F2" s="26">
        <f t="shared" ref="F2:F16" si="0">E2*0.24</f>
        <v>240</v>
      </c>
      <c r="G2" s="26">
        <f t="shared" ref="G2:G13" si="1">SUM(D2,E2:F2)</f>
        <v>1240</v>
      </c>
      <c r="H2" s="27">
        <v>1240</v>
      </c>
      <c r="I2" s="26">
        <f>G2-H2</f>
        <v>0</v>
      </c>
      <c r="J2" s="26">
        <v>1240</v>
      </c>
    </row>
    <row r="3" spans="1:10" ht="15" thickBot="1" x14ac:dyDescent="0.25">
      <c r="A3" s="23">
        <v>2</v>
      </c>
      <c r="B3" s="24" t="s">
        <v>65</v>
      </c>
      <c r="C3" s="24" t="s">
        <v>36</v>
      </c>
      <c r="D3" s="26">
        <v>0</v>
      </c>
      <c r="E3" s="26">
        <v>1000</v>
      </c>
      <c r="F3" s="26">
        <f t="shared" si="0"/>
        <v>240</v>
      </c>
      <c r="G3" s="26">
        <f t="shared" si="1"/>
        <v>1240</v>
      </c>
      <c r="H3" s="27">
        <v>1240</v>
      </c>
      <c r="I3" s="26">
        <f>G3-H3</f>
        <v>0</v>
      </c>
      <c r="J3" s="26">
        <v>1300</v>
      </c>
    </row>
    <row r="4" spans="1:10" ht="15" thickBot="1" x14ac:dyDescent="0.25">
      <c r="A4" s="23">
        <v>3</v>
      </c>
      <c r="B4" s="24" t="s">
        <v>78</v>
      </c>
      <c r="C4" s="24" t="s">
        <v>43</v>
      </c>
      <c r="D4" s="26">
        <v>0</v>
      </c>
      <c r="E4" s="26">
        <v>5000</v>
      </c>
      <c r="F4" s="26">
        <f t="shared" si="0"/>
        <v>1200</v>
      </c>
      <c r="G4" s="26">
        <f t="shared" si="1"/>
        <v>6200</v>
      </c>
      <c r="H4" s="27">
        <v>6200</v>
      </c>
      <c r="I4" s="26">
        <f>G4-H4</f>
        <v>0</v>
      </c>
      <c r="J4" s="26">
        <v>6200</v>
      </c>
    </row>
    <row r="5" spans="1:10" ht="15" thickBot="1" x14ac:dyDescent="0.25">
      <c r="A5" s="23">
        <v>4</v>
      </c>
      <c r="B5" s="24" t="s">
        <v>17</v>
      </c>
      <c r="C5" s="24" t="s">
        <v>18</v>
      </c>
      <c r="D5" s="26">
        <v>0</v>
      </c>
      <c r="E5" s="26">
        <v>50000</v>
      </c>
      <c r="F5" s="26">
        <f t="shared" si="0"/>
        <v>12000</v>
      </c>
      <c r="G5" s="26">
        <f t="shared" si="1"/>
        <v>62000</v>
      </c>
      <c r="H5" s="27">
        <v>12000</v>
      </c>
      <c r="I5" s="39">
        <v>50000</v>
      </c>
      <c r="J5" s="26">
        <v>12000</v>
      </c>
    </row>
    <row r="6" spans="1:10" ht="15" thickBot="1" x14ac:dyDescent="0.25">
      <c r="A6" s="23">
        <v>5</v>
      </c>
      <c r="B6" s="24" t="s">
        <v>13</v>
      </c>
      <c r="C6" s="24" t="s">
        <v>23</v>
      </c>
      <c r="D6" s="26">
        <v>0</v>
      </c>
      <c r="E6" s="26">
        <v>4500</v>
      </c>
      <c r="F6" s="26">
        <f t="shared" si="0"/>
        <v>1080</v>
      </c>
      <c r="G6" s="26">
        <f t="shared" si="1"/>
        <v>5580</v>
      </c>
      <c r="H6" s="27">
        <v>5580</v>
      </c>
      <c r="I6" s="26">
        <f>G6-H6</f>
        <v>0</v>
      </c>
      <c r="J6" s="26">
        <v>5580</v>
      </c>
    </row>
    <row r="7" spans="1:10" ht="15" thickBot="1" x14ac:dyDescent="0.25">
      <c r="A7" s="23">
        <v>6</v>
      </c>
      <c r="B7" s="24" t="s">
        <v>52</v>
      </c>
      <c r="C7" s="24" t="s">
        <v>14</v>
      </c>
      <c r="D7" s="26">
        <v>0</v>
      </c>
      <c r="E7" s="26">
        <v>5500</v>
      </c>
      <c r="F7" s="26">
        <f t="shared" si="0"/>
        <v>1320</v>
      </c>
      <c r="G7" s="26">
        <f t="shared" si="1"/>
        <v>6820</v>
      </c>
      <c r="H7" s="27">
        <v>6820</v>
      </c>
      <c r="I7" s="26">
        <f>G7-H7</f>
        <v>0</v>
      </c>
      <c r="J7" s="26">
        <v>6820</v>
      </c>
    </row>
    <row r="8" spans="1:10" ht="15" thickBot="1" x14ac:dyDescent="0.25">
      <c r="A8" s="23">
        <v>7</v>
      </c>
      <c r="B8" s="24" t="s">
        <v>79</v>
      </c>
      <c r="C8" s="24" t="s">
        <v>36</v>
      </c>
      <c r="D8" s="26">
        <v>0</v>
      </c>
      <c r="E8" s="26">
        <v>620</v>
      </c>
      <c r="F8" s="26">
        <f t="shared" si="0"/>
        <v>148.79999999999998</v>
      </c>
      <c r="G8" s="26">
        <f t="shared" si="1"/>
        <v>768.8</v>
      </c>
      <c r="H8" s="27">
        <v>0</v>
      </c>
      <c r="I8" s="26">
        <v>770</v>
      </c>
      <c r="J8" s="26">
        <v>0</v>
      </c>
    </row>
    <row r="9" spans="1:10" ht="15" thickBot="1" x14ac:dyDescent="0.25">
      <c r="A9" s="23">
        <v>8</v>
      </c>
      <c r="B9" s="24" t="s">
        <v>70</v>
      </c>
      <c r="C9" s="24" t="s">
        <v>80</v>
      </c>
      <c r="D9" s="26">
        <v>0</v>
      </c>
      <c r="E9" s="26">
        <v>460</v>
      </c>
      <c r="F9" s="26">
        <f t="shared" si="0"/>
        <v>110.39999999999999</v>
      </c>
      <c r="G9" s="26">
        <f t="shared" si="1"/>
        <v>570.4</v>
      </c>
      <c r="H9" s="27">
        <v>570</v>
      </c>
      <c r="I9" s="26">
        <f>G9-H9</f>
        <v>0.39999999999997726</v>
      </c>
      <c r="J9" s="26">
        <v>570</v>
      </c>
    </row>
    <row r="10" spans="1:10" ht="15" thickBot="1" x14ac:dyDescent="0.25">
      <c r="A10" s="23">
        <v>9</v>
      </c>
      <c r="B10" s="24" t="s">
        <v>51</v>
      </c>
      <c r="C10" s="24" t="s">
        <v>80</v>
      </c>
      <c r="D10" s="26">
        <v>0</v>
      </c>
      <c r="E10" s="26">
        <v>15376</v>
      </c>
      <c r="F10" s="26">
        <f t="shared" si="0"/>
        <v>3690.24</v>
      </c>
      <c r="G10" s="26">
        <f t="shared" si="1"/>
        <v>19066.239999999998</v>
      </c>
      <c r="H10" s="27">
        <v>0</v>
      </c>
      <c r="I10" s="26">
        <f>G10-H10+34</f>
        <v>19100.239999999998</v>
      </c>
      <c r="J10" s="26">
        <v>0</v>
      </c>
    </row>
    <row r="11" spans="1:10" ht="15" thickBot="1" x14ac:dyDescent="0.25">
      <c r="A11" s="23">
        <v>10</v>
      </c>
      <c r="B11" s="24" t="s">
        <v>13</v>
      </c>
      <c r="C11" s="24" t="s">
        <v>26</v>
      </c>
      <c r="D11" s="26">
        <v>12000</v>
      </c>
      <c r="E11" s="26">
        <v>500</v>
      </c>
      <c r="F11" s="26">
        <f t="shared" si="0"/>
        <v>120</v>
      </c>
      <c r="G11" s="26">
        <f t="shared" si="1"/>
        <v>12620</v>
      </c>
      <c r="H11" s="27">
        <v>0</v>
      </c>
      <c r="I11" s="26">
        <f>G11-H11</f>
        <v>12620</v>
      </c>
      <c r="J11" s="26">
        <v>0</v>
      </c>
    </row>
    <row r="12" spans="1:10" ht="15" thickBot="1" x14ac:dyDescent="0.25">
      <c r="A12" s="23">
        <v>11</v>
      </c>
      <c r="B12" s="24" t="s">
        <v>39</v>
      </c>
      <c r="C12" s="24" t="s">
        <v>40</v>
      </c>
      <c r="D12" s="26">
        <v>16000</v>
      </c>
      <c r="E12" s="26">
        <v>1000</v>
      </c>
      <c r="F12" s="26">
        <f t="shared" si="0"/>
        <v>240</v>
      </c>
      <c r="G12" s="26">
        <f t="shared" si="1"/>
        <v>17240</v>
      </c>
      <c r="H12" s="40">
        <v>1240</v>
      </c>
      <c r="I12" s="26">
        <f>G12-H12</f>
        <v>16000</v>
      </c>
      <c r="J12" s="26">
        <v>0</v>
      </c>
    </row>
    <row r="13" spans="1:10" ht="15" thickBot="1" x14ac:dyDescent="0.25">
      <c r="A13" s="23">
        <v>12</v>
      </c>
      <c r="B13" s="24" t="s">
        <v>32</v>
      </c>
      <c r="C13" s="24" t="s">
        <v>33</v>
      </c>
      <c r="D13" s="26">
        <v>0</v>
      </c>
      <c r="E13" s="26">
        <v>1000</v>
      </c>
      <c r="F13" s="26">
        <f t="shared" si="0"/>
        <v>240</v>
      </c>
      <c r="G13" s="26">
        <f t="shared" si="1"/>
        <v>1240</v>
      </c>
      <c r="H13" s="27">
        <v>1240</v>
      </c>
      <c r="I13" s="26">
        <f>G13-H13</f>
        <v>0</v>
      </c>
      <c r="J13" s="26">
        <v>1240</v>
      </c>
    </row>
    <row r="14" spans="1:10" ht="15" thickBot="1" x14ac:dyDescent="0.25">
      <c r="A14" s="23">
        <v>13</v>
      </c>
      <c r="B14" s="24" t="s">
        <v>81</v>
      </c>
      <c r="C14" s="24" t="s">
        <v>82</v>
      </c>
      <c r="D14" s="26">
        <v>0</v>
      </c>
      <c r="E14" s="26">
        <v>6100</v>
      </c>
      <c r="F14" s="26">
        <f t="shared" si="0"/>
        <v>1464</v>
      </c>
      <c r="G14" s="26">
        <f>SUM(D14,E14:F14)+36</f>
        <v>7600</v>
      </c>
      <c r="H14" s="27">
        <v>7600</v>
      </c>
      <c r="I14" s="26">
        <v>0</v>
      </c>
      <c r="J14" s="26">
        <v>7600</v>
      </c>
    </row>
    <row r="15" spans="1:10" ht="15" thickBot="1" x14ac:dyDescent="0.25">
      <c r="A15" s="23">
        <v>14</v>
      </c>
      <c r="B15" s="24" t="s">
        <v>13</v>
      </c>
      <c r="C15" s="24" t="s">
        <v>14</v>
      </c>
      <c r="D15" s="26">
        <v>0</v>
      </c>
      <c r="E15" s="26">
        <v>1000</v>
      </c>
      <c r="F15" s="26">
        <f t="shared" si="0"/>
        <v>240</v>
      </c>
      <c r="G15" s="26">
        <f>SUM(D15,E15:F15)</f>
        <v>1240</v>
      </c>
      <c r="H15" s="27">
        <v>1240</v>
      </c>
      <c r="I15" s="26">
        <f>G15-H15</f>
        <v>0</v>
      </c>
      <c r="J15" s="26">
        <v>1240</v>
      </c>
    </row>
    <row r="16" spans="1:10" ht="15" thickBot="1" x14ac:dyDescent="0.25">
      <c r="A16" s="23">
        <v>15</v>
      </c>
      <c r="B16" s="24" t="s">
        <v>29</v>
      </c>
      <c r="C16" s="24" t="s">
        <v>35</v>
      </c>
      <c r="D16" s="26">
        <v>0</v>
      </c>
      <c r="E16" s="26">
        <v>100</v>
      </c>
      <c r="F16" s="26">
        <f t="shared" si="0"/>
        <v>24</v>
      </c>
      <c r="G16" s="26">
        <f>SUM(D16,E16:F16)</f>
        <v>124</v>
      </c>
      <c r="H16" s="27">
        <v>0</v>
      </c>
      <c r="I16" s="26">
        <v>130</v>
      </c>
      <c r="J16" s="26">
        <v>0</v>
      </c>
    </row>
    <row r="17" spans="1:10" ht="15" thickBot="1" x14ac:dyDescent="0.25">
      <c r="A17" s="23">
        <v>16</v>
      </c>
      <c r="B17" s="24" t="s">
        <v>83</v>
      </c>
      <c r="C17" s="24" t="s">
        <v>14</v>
      </c>
      <c r="D17" s="197" t="s">
        <v>60</v>
      </c>
      <c r="E17" s="197"/>
      <c r="F17" s="197"/>
      <c r="G17" s="197"/>
      <c r="H17" s="197"/>
      <c r="I17" s="26">
        <v>0</v>
      </c>
      <c r="J17" s="26">
        <v>12400</v>
      </c>
    </row>
    <row r="18" spans="1:10" ht="15" thickBot="1" x14ac:dyDescent="0.25">
      <c r="A18" s="23">
        <v>17</v>
      </c>
      <c r="B18" s="24" t="s">
        <v>84</v>
      </c>
      <c r="C18" s="24" t="s">
        <v>14</v>
      </c>
      <c r="D18" s="197" t="s">
        <v>85</v>
      </c>
      <c r="E18" s="197"/>
      <c r="F18" s="197"/>
      <c r="G18" s="197"/>
      <c r="H18" s="197"/>
      <c r="I18" s="26">
        <v>0</v>
      </c>
      <c r="J18" s="26">
        <v>21240</v>
      </c>
    </row>
    <row r="19" spans="1:10" ht="16.5" thickBot="1" x14ac:dyDescent="0.3">
      <c r="A19" s="190" t="s">
        <v>55</v>
      </c>
      <c r="B19" s="190"/>
      <c r="C19" s="190"/>
      <c r="D19" s="190"/>
      <c r="E19" s="190"/>
      <c r="F19" s="190"/>
      <c r="G19" s="190"/>
      <c r="H19" s="190"/>
      <c r="I19" s="41">
        <f>SUM(I2:I18)</f>
        <v>98620.64</v>
      </c>
      <c r="J19" s="41">
        <f>SUM(J2:J18)</f>
        <v>77430</v>
      </c>
    </row>
    <row r="20" spans="1:10" ht="16.5" thickBot="1" x14ac:dyDescent="0.3">
      <c r="A20" s="198" t="s">
        <v>77</v>
      </c>
      <c r="B20" s="198"/>
      <c r="C20" s="198"/>
      <c r="D20" s="198"/>
      <c r="E20" s="198"/>
      <c r="F20" s="198"/>
      <c r="G20" s="198"/>
      <c r="H20" s="198"/>
      <c r="I20" s="199">
        <f>SUM(I19,J19)</f>
        <v>176050.64</v>
      </c>
      <c r="J20" s="199"/>
    </row>
  </sheetData>
  <mergeCells count="5">
    <mergeCell ref="D17:H17"/>
    <mergeCell ref="D18:H18"/>
    <mergeCell ref="A19:H19"/>
    <mergeCell ref="A20:H20"/>
    <mergeCell ref="I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Hundi</vt:lpstr>
      <vt:lpstr>Interest Recieved Status</vt:lpstr>
      <vt:lpstr>June2026-May2027_Maintainence</vt:lpstr>
      <vt:lpstr>June2026-May2027_Interest</vt:lpstr>
      <vt:lpstr>June2025-May2026_Maintainence</vt:lpstr>
      <vt:lpstr>June2025-May2026_Interest</vt:lpstr>
      <vt:lpstr>SGVSVD_Account_2025</vt:lpstr>
      <vt:lpstr>SGVSVD_Account_2024</vt:lpstr>
      <vt:lpstr>June2024-May2025_Maintainence</vt:lpstr>
      <vt:lpstr>SGVSVD_Account_2023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Vengal Rao Vemuri</dc:creator>
  <cp:lastModifiedBy>Vengal Rao. Vemuri</cp:lastModifiedBy>
  <cp:revision>61</cp:revision>
  <dcterms:created xsi:type="dcterms:W3CDTF">2024-12-04T15:21:36Z</dcterms:created>
  <dcterms:modified xsi:type="dcterms:W3CDTF">2026-07-26T17:39:36Z</dcterms:modified>
</cp:coreProperties>
</file>